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howdb\"/>
    </mc:Choice>
  </mc:AlternateContent>
  <xr:revisionPtr revIDLastSave="0" documentId="8_{CAE76BE1-0247-4B97-AB77-30EE84BF78D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ocieties (Master)" sheetId="10" r:id="rId1"/>
    <sheet name="AIMS Season 2526" sheetId="8" r:id="rId2"/>
    <sheet name="AIMS Season 2627" sheetId="6" r:id="rId3"/>
    <sheet name="Gilbert" sheetId="3" state="hidden" r:id="rId4"/>
    <sheet name="Sullivan" sheetId="4" state="hidden" r:id="rId5"/>
    <sheet name="AIMS Season 2728" sheetId="9" r:id="rId6"/>
    <sheet name="AIMS Calendar 2324" sheetId="1" r:id="rId7"/>
    <sheet name="DC Watchlist 2024" sheetId="5" state="hidden" r:id="rId8"/>
    <sheet name="AIMS Season - 24_25" sheetId="2" r:id="rId9"/>
  </sheets>
  <definedNames>
    <definedName name="_xlnm._FilterDatabase" localSheetId="6" hidden="1">'AIMS Calendar 2324'!$A$2:$L$117</definedName>
    <definedName name="_xlnm._FilterDatabase" localSheetId="8" hidden="1">'AIMS Season - 24_25'!$A$1:$L$117</definedName>
    <definedName name="_xlnm._FilterDatabase" localSheetId="1" hidden="1">'AIMS Season 2526'!$A$2:$K$2</definedName>
    <definedName name="_xlnm._FilterDatabase" localSheetId="2" hidden="1">'AIMS Season 2627'!$A$1:$K$1</definedName>
    <definedName name="_xlnm._FilterDatabase" localSheetId="5" hidden="1">'AIMS Season 2728'!$A$1:$K$1</definedName>
    <definedName name="_xlnm._FilterDatabase" localSheetId="7" hidden="1">'DC Watchlist 2024'!$B$5:$D$38</definedName>
    <definedName name="_xlnm._FilterDatabase" localSheetId="4" hidden="1">Sullivan!$A$1:$J$40</definedName>
    <definedName name="Z_0EE4034D_713D_4E6A_B0C0_7498EF9F76BD_.wvu.FilterData" localSheetId="6" hidden="1">'AIMS Calendar 2324'!$A$2:$L$80</definedName>
    <definedName name="Z_49D39D5E_5E6C_4E33_8976_FE186AA43175_.wvu.FilterData" localSheetId="6" hidden="1">'AIMS Calendar 2324'!$A$2:$L$93</definedName>
    <definedName name="Z_FA9453F8_93A5_493C_8085_A0D27480BB7C_.wvu.FilterData" localSheetId="6" hidden="1">'AIMS Calendar 2324'!$A$2:$L$93</definedName>
  </definedNames>
  <calcPr calcId="191029"/>
  <customWorkbookViews>
    <customWorkbookView name="Filter 1" guid="{0EE4034D-713D-4E6A-B0C0-7498EF9F76BD}" maximized="1" windowWidth="0" windowHeight="0" activeSheetId="0"/>
    <customWorkbookView name="Filter 3" guid="{49D39D5E-5E6C-4E33-8976-FE186AA43175}" maximized="1" windowWidth="0" windowHeight="0" activeSheetId="0"/>
    <customWorkbookView name="Filter 2" guid="{FA9453F8-93A5-493C-8085-A0D27480BB7C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1" i="10" l="1"/>
  <c r="J181" i="10"/>
  <c r="I181" i="10"/>
  <c r="H181" i="10"/>
  <c r="G181" i="10"/>
  <c r="K180" i="10"/>
  <c r="J180" i="10"/>
  <c r="I180" i="10"/>
  <c r="H180" i="10"/>
  <c r="G180" i="10"/>
  <c r="K179" i="10"/>
  <c r="J179" i="10"/>
  <c r="I179" i="10"/>
  <c r="L179" i="10" s="1"/>
  <c r="H179" i="10"/>
  <c r="G179" i="10"/>
  <c r="K178" i="10"/>
  <c r="L178" i="10" s="1"/>
  <c r="J178" i="10"/>
  <c r="I178" i="10"/>
  <c r="H178" i="10"/>
  <c r="G178" i="10"/>
  <c r="K177" i="10"/>
  <c r="J177" i="10"/>
  <c r="I177" i="10"/>
  <c r="H177" i="10"/>
  <c r="G177" i="10"/>
  <c r="K176" i="10"/>
  <c r="J176" i="10"/>
  <c r="I176" i="10"/>
  <c r="H176" i="10"/>
  <c r="L176" i="10" s="1"/>
  <c r="G176" i="10"/>
  <c r="K175" i="10"/>
  <c r="J175" i="10"/>
  <c r="L175" i="10" s="1"/>
  <c r="I175" i="10"/>
  <c r="H175" i="10"/>
  <c r="G175" i="10"/>
  <c r="K174" i="10"/>
  <c r="J174" i="10"/>
  <c r="I174" i="10"/>
  <c r="H174" i="10"/>
  <c r="G174" i="10"/>
  <c r="K173" i="10"/>
  <c r="J173" i="10"/>
  <c r="I173" i="10"/>
  <c r="H173" i="10"/>
  <c r="G173" i="10"/>
  <c r="L173" i="10" s="1"/>
  <c r="K172" i="10"/>
  <c r="J172" i="10"/>
  <c r="I172" i="10"/>
  <c r="L172" i="10" s="1"/>
  <c r="H172" i="10"/>
  <c r="G172" i="10"/>
  <c r="K171" i="10"/>
  <c r="J171" i="10"/>
  <c r="I171" i="10"/>
  <c r="H171" i="10"/>
  <c r="G171" i="10"/>
  <c r="K170" i="10"/>
  <c r="J170" i="10"/>
  <c r="I170" i="10"/>
  <c r="H170" i="10"/>
  <c r="G170" i="10"/>
  <c r="K169" i="10"/>
  <c r="L169" i="10" s="1"/>
  <c r="J169" i="10"/>
  <c r="I169" i="10"/>
  <c r="H169" i="10"/>
  <c r="G169" i="10"/>
  <c r="K168" i="10"/>
  <c r="J168" i="10"/>
  <c r="I168" i="10"/>
  <c r="H168" i="10"/>
  <c r="G168" i="10"/>
  <c r="K167" i="10"/>
  <c r="J167" i="10"/>
  <c r="I167" i="10"/>
  <c r="H167" i="10"/>
  <c r="G167" i="10"/>
  <c r="K166" i="10"/>
  <c r="J166" i="10"/>
  <c r="I166" i="10"/>
  <c r="H166" i="10"/>
  <c r="G166" i="10"/>
  <c r="L166" i="10" s="1"/>
  <c r="K165" i="10"/>
  <c r="J165" i="10"/>
  <c r="I165" i="10"/>
  <c r="H165" i="10"/>
  <c r="G165" i="10"/>
  <c r="K164" i="10"/>
  <c r="J164" i="10"/>
  <c r="I164" i="10"/>
  <c r="H164" i="10"/>
  <c r="G164" i="10"/>
  <c r="K163" i="10"/>
  <c r="J163" i="10"/>
  <c r="I163" i="10"/>
  <c r="L163" i="10" s="1"/>
  <c r="H163" i="10"/>
  <c r="G163" i="10"/>
  <c r="K162" i="10"/>
  <c r="L162" i="10" s="1"/>
  <c r="J162" i="10"/>
  <c r="I162" i="10"/>
  <c r="H162" i="10"/>
  <c r="G162" i="10"/>
  <c r="K161" i="10"/>
  <c r="J161" i="10"/>
  <c r="I161" i="10"/>
  <c r="H161" i="10"/>
  <c r="G161" i="10"/>
  <c r="K160" i="10"/>
  <c r="J160" i="10"/>
  <c r="I160" i="10"/>
  <c r="H160" i="10"/>
  <c r="L160" i="10" s="1"/>
  <c r="G160" i="10"/>
  <c r="K159" i="10"/>
  <c r="J159" i="10"/>
  <c r="L159" i="10" s="1"/>
  <c r="I159" i="10"/>
  <c r="H159" i="10"/>
  <c r="G159" i="10"/>
  <c r="K158" i="10"/>
  <c r="J158" i="10"/>
  <c r="I158" i="10"/>
  <c r="H158" i="10"/>
  <c r="G158" i="10"/>
  <c r="K157" i="10"/>
  <c r="J157" i="10"/>
  <c r="I157" i="10"/>
  <c r="H157" i="10"/>
  <c r="G157" i="10"/>
  <c r="L157" i="10" s="1"/>
  <c r="K156" i="10"/>
  <c r="J156" i="10"/>
  <c r="I156" i="10"/>
  <c r="L156" i="10" s="1"/>
  <c r="H156" i="10"/>
  <c r="G156" i="10"/>
  <c r="K155" i="10"/>
  <c r="J155" i="10"/>
  <c r="I155" i="10"/>
  <c r="H155" i="10"/>
  <c r="G155" i="10"/>
  <c r="K154" i="10"/>
  <c r="J154" i="10"/>
  <c r="I154" i="10"/>
  <c r="H154" i="10"/>
  <c r="G154" i="10"/>
  <c r="K153" i="10"/>
  <c r="L153" i="10" s="1"/>
  <c r="J153" i="10"/>
  <c r="I153" i="10"/>
  <c r="H153" i="10"/>
  <c r="G153" i="10"/>
  <c r="K152" i="10"/>
  <c r="J152" i="10"/>
  <c r="I152" i="10"/>
  <c r="H152" i="10"/>
  <c r="G152" i="10"/>
  <c r="K151" i="10"/>
  <c r="J151" i="10"/>
  <c r="I151" i="10"/>
  <c r="H151" i="10"/>
  <c r="G151" i="10"/>
  <c r="L151" i="10" s="1"/>
  <c r="K150" i="10"/>
  <c r="J150" i="10"/>
  <c r="I150" i="10"/>
  <c r="H150" i="10"/>
  <c r="G150" i="10"/>
  <c r="L150" i="10" s="1"/>
  <c r="K149" i="10"/>
  <c r="J149" i="10"/>
  <c r="I149" i="10"/>
  <c r="H149" i="10"/>
  <c r="G149" i="10"/>
  <c r="K148" i="10"/>
  <c r="J148" i="10"/>
  <c r="I148" i="10"/>
  <c r="H148" i="10"/>
  <c r="G148" i="10"/>
  <c r="K147" i="10"/>
  <c r="J147" i="10"/>
  <c r="I147" i="10"/>
  <c r="L147" i="10" s="1"/>
  <c r="H147" i="10"/>
  <c r="G147" i="10"/>
  <c r="K146" i="10"/>
  <c r="L146" i="10" s="1"/>
  <c r="J146" i="10"/>
  <c r="I146" i="10"/>
  <c r="H146" i="10"/>
  <c r="G146" i="10"/>
  <c r="K145" i="10"/>
  <c r="L145" i="10" s="1"/>
  <c r="J145" i="10"/>
  <c r="I145" i="10"/>
  <c r="H145" i="10"/>
  <c r="G145" i="10"/>
  <c r="K144" i="10"/>
  <c r="J144" i="10"/>
  <c r="I144" i="10"/>
  <c r="H144" i="10"/>
  <c r="L144" i="10" s="1"/>
  <c r="G144" i="10"/>
  <c r="K143" i="10"/>
  <c r="J143" i="10"/>
  <c r="L143" i="10" s="1"/>
  <c r="I143" i="10"/>
  <c r="H143" i="10"/>
  <c r="G143" i="10"/>
  <c r="K142" i="10"/>
  <c r="J142" i="10"/>
  <c r="I142" i="10"/>
  <c r="H142" i="10"/>
  <c r="G142" i="10"/>
  <c r="K141" i="10"/>
  <c r="J141" i="10"/>
  <c r="I141" i="10"/>
  <c r="H141" i="10"/>
  <c r="G141" i="10"/>
  <c r="L141" i="10" s="1"/>
  <c r="K140" i="10"/>
  <c r="J140" i="10"/>
  <c r="I140" i="10"/>
  <c r="L140" i="10" s="1"/>
  <c r="H140" i="10"/>
  <c r="G140" i="10"/>
  <c r="K139" i="10"/>
  <c r="J139" i="10"/>
  <c r="I139" i="10"/>
  <c r="H139" i="10"/>
  <c r="G139" i="10"/>
  <c r="K138" i="10"/>
  <c r="J138" i="10"/>
  <c r="I138" i="10"/>
  <c r="H138" i="10"/>
  <c r="G138" i="10"/>
  <c r="K137" i="10"/>
  <c r="L137" i="10" s="1"/>
  <c r="J137" i="10"/>
  <c r="I137" i="10"/>
  <c r="H137" i="10"/>
  <c r="G137" i="10"/>
  <c r="K136" i="10"/>
  <c r="J136" i="10"/>
  <c r="I136" i="10"/>
  <c r="H136" i="10"/>
  <c r="G136" i="10"/>
  <c r="K135" i="10"/>
  <c r="J135" i="10"/>
  <c r="I135" i="10"/>
  <c r="H135" i="10"/>
  <c r="G135" i="10"/>
  <c r="L135" i="10" s="1"/>
  <c r="K134" i="10"/>
  <c r="J134" i="10"/>
  <c r="I134" i="10"/>
  <c r="H134" i="10"/>
  <c r="G134" i="10"/>
  <c r="L134" i="10" s="1"/>
  <c r="K133" i="10"/>
  <c r="J133" i="10"/>
  <c r="I133" i="10"/>
  <c r="H133" i="10"/>
  <c r="G133" i="10"/>
  <c r="K132" i="10"/>
  <c r="J132" i="10"/>
  <c r="I132" i="10"/>
  <c r="H132" i="10"/>
  <c r="G132" i="10"/>
  <c r="K131" i="10"/>
  <c r="J131" i="10"/>
  <c r="I131" i="10"/>
  <c r="L131" i="10" s="1"/>
  <c r="H131" i="10"/>
  <c r="G131" i="10"/>
  <c r="K130" i="10"/>
  <c r="L130" i="10" s="1"/>
  <c r="J130" i="10"/>
  <c r="I130" i="10"/>
  <c r="H130" i="10"/>
  <c r="G130" i="10"/>
  <c r="K129" i="10"/>
  <c r="L129" i="10" s="1"/>
  <c r="J129" i="10"/>
  <c r="I129" i="10"/>
  <c r="H129" i="10"/>
  <c r="G129" i="10"/>
  <c r="K128" i="10"/>
  <c r="J128" i="10"/>
  <c r="I128" i="10"/>
  <c r="H128" i="10"/>
  <c r="L128" i="10" s="1"/>
  <c r="G128" i="10"/>
  <c r="K127" i="10"/>
  <c r="J127" i="10"/>
  <c r="L127" i="10" s="1"/>
  <c r="I127" i="10"/>
  <c r="H127" i="10"/>
  <c r="G127" i="10"/>
  <c r="K126" i="10"/>
  <c r="J126" i="10"/>
  <c r="I126" i="10"/>
  <c r="H126" i="10"/>
  <c r="L126" i="10" s="1"/>
  <c r="G126" i="10"/>
  <c r="K125" i="10"/>
  <c r="J125" i="10"/>
  <c r="I125" i="10"/>
  <c r="H125" i="10"/>
  <c r="G125" i="10"/>
  <c r="L125" i="10" s="1"/>
  <c r="K124" i="10"/>
  <c r="J124" i="10"/>
  <c r="I124" i="10"/>
  <c r="H124" i="10"/>
  <c r="G124" i="10"/>
  <c r="K123" i="10"/>
  <c r="J123" i="10"/>
  <c r="I123" i="10"/>
  <c r="H123" i="10"/>
  <c r="G123" i="10"/>
  <c r="K122" i="10"/>
  <c r="J122" i="10"/>
  <c r="I122" i="10"/>
  <c r="H122" i="10"/>
  <c r="G122" i="10"/>
  <c r="L122" i="10" s="1"/>
  <c r="K121" i="10"/>
  <c r="J121" i="10"/>
  <c r="I121" i="10"/>
  <c r="H121" i="10"/>
  <c r="G121" i="10"/>
  <c r="K120" i="10"/>
  <c r="J120" i="10"/>
  <c r="I120" i="10"/>
  <c r="H120" i="10"/>
  <c r="L120" i="10" s="1"/>
  <c r="G120" i="10"/>
  <c r="K119" i="10"/>
  <c r="J119" i="10"/>
  <c r="I119" i="10"/>
  <c r="H119" i="10"/>
  <c r="G119" i="10"/>
  <c r="L119" i="10" s="1"/>
  <c r="K118" i="10"/>
  <c r="J118" i="10"/>
  <c r="I118" i="10"/>
  <c r="H118" i="10"/>
  <c r="G118" i="10"/>
  <c r="L118" i="10" s="1"/>
  <c r="K117" i="10"/>
  <c r="J117" i="10"/>
  <c r="I117" i="10"/>
  <c r="H117" i="10"/>
  <c r="G117" i="10"/>
  <c r="L117" i="10" s="1"/>
  <c r="K116" i="10"/>
  <c r="J116" i="10"/>
  <c r="I116" i="10"/>
  <c r="H116" i="10"/>
  <c r="G116" i="10"/>
  <c r="K115" i="10"/>
  <c r="J115" i="10"/>
  <c r="I115" i="10"/>
  <c r="L115" i="10" s="1"/>
  <c r="H115" i="10"/>
  <c r="G115" i="10"/>
  <c r="K114" i="10"/>
  <c r="L114" i="10" s="1"/>
  <c r="J114" i="10"/>
  <c r="I114" i="10"/>
  <c r="H114" i="10"/>
  <c r="G114" i="10"/>
  <c r="K113" i="10"/>
  <c r="J113" i="10"/>
  <c r="I113" i="10"/>
  <c r="L113" i="10" s="1"/>
  <c r="H113" i="10"/>
  <c r="G113" i="10"/>
  <c r="K112" i="10"/>
  <c r="J112" i="10"/>
  <c r="I112" i="10"/>
  <c r="H112" i="10"/>
  <c r="L112" i="10" s="1"/>
  <c r="G112" i="10"/>
  <c r="K111" i="10"/>
  <c r="J111" i="10"/>
  <c r="L111" i="10" s="1"/>
  <c r="I111" i="10"/>
  <c r="H111" i="10"/>
  <c r="G111" i="10"/>
  <c r="K110" i="10"/>
  <c r="J110" i="10"/>
  <c r="I110" i="10"/>
  <c r="H110" i="10"/>
  <c r="G110" i="10"/>
  <c r="K109" i="10"/>
  <c r="J109" i="10"/>
  <c r="I109" i="10"/>
  <c r="H109" i="10"/>
  <c r="G109" i="10"/>
  <c r="L109" i="10" s="1"/>
  <c r="K108" i="10"/>
  <c r="J108" i="10"/>
  <c r="I108" i="10"/>
  <c r="H108" i="10"/>
  <c r="G108" i="10"/>
  <c r="K107" i="10"/>
  <c r="J107" i="10"/>
  <c r="I107" i="10"/>
  <c r="H107" i="10"/>
  <c r="G107" i="10"/>
  <c r="K106" i="10"/>
  <c r="J106" i="10"/>
  <c r="I106" i="10"/>
  <c r="H106" i="10"/>
  <c r="G106" i="10"/>
  <c r="L106" i="10" s="1"/>
  <c r="K105" i="10"/>
  <c r="J105" i="10"/>
  <c r="I105" i="10"/>
  <c r="H105" i="10"/>
  <c r="G105" i="10"/>
  <c r="K104" i="10"/>
  <c r="J104" i="10"/>
  <c r="I104" i="10"/>
  <c r="H104" i="10"/>
  <c r="L104" i="10" s="1"/>
  <c r="G104" i="10"/>
  <c r="K103" i="10"/>
  <c r="J103" i="10"/>
  <c r="I103" i="10"/>
  <c r="H103" i="10"/>
  <c r="G103" i="10"/>
  <c r="L103" i="10" s="1"/>
  <c r="K102" i="10"/>
  <c r="J102" i="10"/>
  <c r="I102" i="10"/>
  <c r="H102" i="10"/>
  <c r="G102" i="10"/>
  <c r="K101" i="10"/>
  <c r="J101" i="10"/>
  <c r="I101" i="10"/>
  <c r="H101" i="10"/>
  <c r="G101" i="10"/>
  <c r="L101" i="10" s="1"/>
  <c r="K100" i="10"/>
  <c r="J100" i="10"/>
  <c r="L100" i="10" s="1"/>
  <c r="I100" i="10"/>
  <c r="H100" i="10"/>
  <c r="G100" i="10"/>
  <c r="K99" i="10"/>
  <c r="J99" i="10"/>
  <c r="I99" i="10"/>
  <c r="H99" i="10"/>
  <c r="G99" i="10"/>
  <c r="K98" i="10"/>
  <c r="L98" i="10" s="1"/>
  <c r="J98" i="10"/>
  <c r="I98" i="10"/>
  <c r="H98" i="10"/>
  <c r="G98" i="10"/>
  <c r="K97" i="10"/>
  <c r="J97" i="10"/>
  <c r="I97" i="10"/>
  <c r="L97" i="10" s="1"/>
  <c r="H97" i="10"/>
  <c r="G97" i="10"/>
  <c r="K96" i="10"/>
  <c r="J96" i="10"/>
  <c r="I96" i="10"/>
  <c r="H96" i="10"/>
  <c r="G96" i="10"/>
  <c r="K95" i="10"/>
  <c r="J95" i="10"/>
  <c r="L95" i="10" s="1"/>
  <c r="I95" i="10"/>
  <c r="H95" i="10"/>
  <c r="G95" i="10"/>
  <c r="K94" i="10"/>
  <c r="J94" i="10"/>
  <c r="I94" i="10"/>
  <c r="H94" i="10"/>
  <c r="L94" i="10" s="1"/>
  <c r="G94" i="10"/>
  <c r="K93" i="10"/>
  <c r="J93" i="10"/>
  <c r="I93" i="10"/>
  <c r="H93" i="10"/>
  <c r="G93" i="10"/>
  <c r="L93" i="10" s="1"/>
  <c r="K92" i="10"/>
  <c r="J92" i="10"/>
  <c r="I92" i="10"/>
  <c r="L92" i="10" s="1"/>
  <c r="H92" i="10"/>
  <c r="G92" i="10"/>
  <c r="K91" i="10"/>
  <c r="J91" i="10"/>
  <c r="I91" i="10"/>
  <c r="H91" i="10"/>
  <c r="G91" i="10"/>
  <c r="K90" i="10"/>
  <c r="J90" i="10"/>
  <c r="I90" i="10"/>
  <c r="H90" i="10"/>
  <c r="G90" i="10"/>
  <c r="K89" i="10"/>
  <c r="J89" i="10"/>
  <c r="I89" i="10"/>
  <c r="H89" i="10"/>
  <c r="G89" i="10"/>
  <c r="K88" i="10"/>
  <c r="J88" i="10"/>
  <c r="I88" i="10"/>
  <c r="H88" i="10"/>
  <c r="G88" i="10"/>
  <c r="K87" i="10"/>
  <c r="J87" i="10"/>
  <c r="I87" i="10"/>
  <c r="H87" i="10"/>
  <c r="G87" i="10"/>
  <c r="L87" i="10" s="1"/>
  <c r="K86" i="10"/>
  <c r="J86" i="10"/>
  <c r="I86" i="10"/>
  <c r="H86" i="10"/>
  <c r="G86" i="10"/>
  <c r="K85" i="10"/>
  <c r="J85" i="10"/>
  <c r="I85" i="10"/>
  <c r="H85" i="10"/>
  <c r="G85" i="10"/>
  <c r="K84" i="10"/>
  <c r="J84" i="10"/>
  <c r="I84" i="10"/>
  <c r="H84" i="10"/>
  <c r="G84" i="10"/>
  <c r="K83" i="10"/>
  <c r="J83" i="10"/>
  <c r="I83" i="10"/>
  <c r="H83" i="10"/>
  <c r="G83" i="10"/>
  <c r="K82" i="10"/>
  <c r="L82" i="10" s="1"/>
  <c r="J82" i="10"/>
  <c r="I82" i="10"/>
  <c r="H82" i="10"/>
  <c r="G82" i="10"/>
  <c r="K81" i="10"/>
  <c r="J81" i="10"/>
  <c r="I81" i="10"/>
  <c r="L81" i="10" s="1"/>
  <c r="H81" i="10"/>
  <c r="G81" i="10"/>
  <c r="K80" i="10"/>
  <c r="J80" i="10"/>
  <c r="I80" i="10"/>
  <c r="H80" i="10"/>
  <c r="G80" i="10"/>
  <c r="K79" i="10"/>
  <c r="J79" i="10"/>
  <c r="I79" i="10"/>
  <c r="H79" i="10"/>
  <c r="G79" i="10"/>
  <c r="K78" i="10"/>
  <c r="J78" i="10"/>
  <c r="I78" i="10"/>
  <c r="H78" i="10"/>
  <c r="L78" i="10" s="1"/>
  <c r="G78" i="10"/>
  <c r="K77" i="10"/>
  <c r="J77" i="10"/>
  <c r="I77" i="10"/>
  <c r="H77" i="10"/>
  <c r="G77" i="10"/>
  <c r="L77" i="10" s="1"/>
  <c r="K76" i="10"/>
  <c r="J76" i="10"/>
  <c r="I76" i="10"/>
  <c r="L76" i="10" s="1"/>
  <c r="H76" i="10"/>
  <c r="G76" i="10"/>
  <c r="K75" i="10"/>
  <c r="J75" i="10"/>
  <c r="I75" i="10"/>
  <c r="H75" i="10"/>
  <c r="G75" i="10"/>
  <c r="L75" i="10" s="1"/>
  <c r="K74" i="10"/>
  <c r="J74" i="10"/>
  <c r="I74" i="10"/>
  <c r="H74" i="10"/>
  <c r="G74" i="10"/>
  <c r="L74" i="10" s="1"/>
  <c r="K73" i="10"/>
  <c r="J73" i="10"/>
  <c r="I73" i="10"/>
  <c r="H73" i="10"/>
  <c r="L73" i="10" s="1"/>
  <c r="G73" i="10"/>
  <c r="K72" i="10"/>
  <c r="J72" i="10"/>
  <c r="I72" i="10"/>
  <c r="H72" i="10"/>
  <c r="L72" i="10" s="1"/>
  <c r="G72" i="10"/>
  <c r="K71" i="10"/>
  <c r="J71" i="10"/>
  <c r="I71" i="10"/>
  <c r="H71" i="10"/>
  <c r="G71" i="10"/>
  <c r="L71" i="10" s="1"/>
  <c r="K70" i="10"/>
  <c r="J70" i="10"/>
  <c r="I70" i="10"/>
  <c r="H70" i="10"/>
  <c r="G70" i="10"/>
  <c r="L70" i="10" s="1"/>
  <c r="K69" i="10"/>
  <c r="J69" i="10"/>
  <c r="I69" i="10"/>
  <c r="H69" i="10"/>
  <c r="G69" i="10"/>
  <c r="K68" i="10"/>
  <c r="J68" i="10"/>
  <c r="I68" i="10"/>
  <c r="H68" i="10"/>
  <c r="G68" i="10"/>
  <c r="K67" i="10"/>
  <c r="J67" i="10"/>
  <c r="I67" i="10"/>
  <c r="H67" i="10"/>
  <c r="G67" i="10"/>
  <c r="K66" i="10"/>
  <c r="L66" i="10" s="1"/>
  <c r="J66" i="10"/>
  <c r="I66" i="10"/>
  <c r="H66" i="10"/>
  <c r="G66" i="10"/>
  <c r="K65" i="10"/>
  <c r="J65" i="10"/>
  <c r="I65" i="10"/>
  <c r="H65" i="10"/>
  <c r="G65" i="10"/>
  <c r="K64" i="10"/>
  <c r="J64" i="10"/>
  <c r="I64" i="10"/>
  <c r="H64" i="10"/>
  <c r="G64" i="10"/>
  <c r="K63" i="10"/>
  <c r="J63" i="10"/>
  <c r="I63" i="10"/>
  <c r="H63" i="10"/>
  <c r="G63" i="10"/>
  <c r="K62" i="10"/>
  <c r="J62" i="10"/>
  <c r="I62" i="10"/>
  <c r="H62" i="10"/>
  <c r="G62" i="10"/>
  <c r="K61" i="10"/>
  <c r="J61" i="10"/>
  <c r="I61" i="10"/>
  <c r="H61" i="10"/>
  <c r="G61" i="10"/>
  <c r="L61" i="10" s="1"/>
  <c r="K60" i="10"/>
  <c r="J60" i="10"/>
  <c r="I60" i="10"/>
  <c r="H60" i="10"/>
  <c r="G60" i="10"/>
  <c r="K59" i="10"/>
  <c r="J59" i="10"/>
  <c r="I59" i="10"/>
  <c r="H59" i="10"/>
  <c r="G59" i="10"/>
  <c r="L59" i="10" s="1"/>
  <c r="K58" i="10"/>
  <c r="J58" i="10"/>
  <c r="I58" i="10"/>
  <c r="H58" i="10"/>
  <c r="G58" i="10"/>
  <c r="L58" i="10" s="1"/>
  <c r="K57" i="10"/>
  <c r="J57" i="10"/>
  <c r="I57" i="10"/>
  <c r="H57" i="10"/>
  <c r="L57" i="10" s="1"/>
  <c r="G57" i="10"/>
  <c r="K56" i="10"/>
  <c r="J56" i="10"/>
  <c r="I56" i="10"/>
  <c r="H56" i="10"/>
  <c r="L56" i="10" s="1"/>
  <c r="G56" i="10"/>
  <c r="K55" i="10"/>
  <c r="J55" i="10"/>
  <c r="I55" i="10"/>
  <c r="H55" i="10"/>
  <c r="G55" i="10"/>
  <c r="L55" i="10" s="1"/>
  <c r="K54" i="10"/>
  <c r="J54" i="10"/>
  <c r="I54" i="10"/>
  <c r="H54" i="10"/>
  <c r="G54" i="10"/>
  <c r="L54" i="10" s="1"/>
  <c r="K53" i="10"/>
  <c r="J53" i="10"/>
  <c r="I53" i="10"/>
  <c r="H53" i="10"/>
  <c r="G53" i="10"/>
  <c r="L53" i="10" s="1"/>
  <c r="K52" i="10"/>
  <c r="J52" i="10"/>
  <c r="L52" i="10" s="1"/>
  <c r="I52" i="10"/>
  <c r="H52" i="10"/>
  <c r="G52" i="10"/>
  <c r="K51" i="10"/>
  <c r="J51" i="10"/>
  <c r="I51" i="10"/>
  <c r="H51" i="10"/>
  <c r="G51" i="10"/>
  <c r="K50" i="10"/>
  <c r="J50" i="10"/>
  <c r="I50" i="10"/>
  <c r="H50" i="10"/>
  <c r="G50" i="10"/>
  <c r="K49" i="10"/>
  <c r="J49" i="10"/>
  <c r="I49" i="10"/>
  <c r="L49" i="10" s="1"/>
  <c r="H49" i="10"/>
  <c r="G49" i="10"/>
  <c r="K48" i="10"/>
  <c r="J48" i="10"/>
  <c r="I48" i="10"/>
  <c r="H48" i="10"/>
  <c r="G48" i="10"/>
  <c r="K47" i="10"/>
  <c r="J47" i="10"/>
  <c r="L47" i="10" s="1"/>
  <c r="I47" i="10"/>
  <c r="H47" i="10"/>
  <c r="G47" i="10"/>
  <c r="K46" i="10"/>
  <c r="J46" i="10"/>
  <c r="I46" i="10"/>
  <c r="H46" i="10"/>
  <c r="G46" i="10"/>
  <c r="K45" i="10"/>
  <c r="J45" i="10"/>
  <c r="I45" i="10"/>
  <c r="H45" i="10"/>
  <c r="G45" i="10"/>
  <c r="L45" i="10" s="1"/>
  <c r="K44" i="10"/>
  <c r="J44" i="10"/>
  <c r="I44" i="10"/>
  <c r="L44" i="10" s="1"/>
  <c r="H44" i="10"/>
  <c r="G44" i="10"/>
  <c r="K43" i="10"/>
  <c r="J43" i="10"/>
  <c r="I43" i="10"/>
  <c r="H43" i="10"/>
  <c r="G43" i="10"/>
  <c r="L43" i="10" s="1"/>
  <c r="K42" i="10"/>
  <c r="J42" i="10"/>
  <c r="I42" i="10"/>
  <c r="H42" i="10"/>
  <c r="G42" i="10"/>
  <c r="L42" i="10" s="1"/>
  <c r="K41" i="10"/>
  <c r="J41" i="10"/>
  <c r="I41" i="10"/>
  <c r="H41" i="10"/>
  <c r="L41" i="10" s="1"/>
  <c r="G41" i="10"/>
  <c r="K40" i="10"/>
  <c r="J40" i="10"/>
  <c r="I40" i="10"/>
  <c r="H40" i="10"/>
  <c r="L40" i="10" s="1"/>
  <c r="G40" i="10"/>
  <c r="K39" i="10"/>
  <c r="J39" i="10"/>
  <c r="I39" i="10"/>
  <c r="H39" i="10"/>
  <c r="G39" i="10"/>
  <c r="L39" i="10" s="1"/>
  <c r="K38" i="10"/>
  <c r="J38" i="10"/>
  <c r="I38" i="10"/>
  <c r="H38" i="10"/>
  <c r="G38" i="10"/>
  <c r="L38" i="10" s="1"/>
  <c r="K37" i="10"/>
  <c r="J37" i="10"/>
  <c r="I37" i="10"/>
  <c r="H37" i="10"/>
  <c r="G37" i="10"/>
  <c r="K36" i="10"/>
  <c r="J36" i="10"/>
  <c r="I36" i="10"/>
  <c r="H36" i="10"/>
  <c r="G36" i="10"/>
  <c r="K35" i="10"/>
  <c r="J35" i="10"/>
  <c r="I35" i="10"/>
  <c r="H35" i="10"/>
  <c r="G35" i="10"/>
  <c r="K34" i="10"/>
  <c r="J34" i="10"/>
  <c r="I34" i="10"/>
  <c r="H34" i="10"/>
  <c r="G34" i="10"/>
  <c r="K33" i="10"/>
  <c r="J33" i="10"/>
  <c r="I33" i="10"/>
  <c r="L33" i="10" s="1"/>
  <c r="H33" i="10"/>
  <c r="G33" i="10"/>
  <c r="K32" i="10"/>
  <c r="J32" i="10"/>
  <c r="I32" i="10"/>
  <c r="H32" i="10"/>
  <c r="G32" i="10"/>
  <c r="K31" i="10"/>
  <c r="J31" i="10"/>
  <c r="L31" i="10" s="1"/>
  <c r="I31" i="10"/>
  <c r="H31" i="10"/>
  <c r="G31" i="10"/>
  <c r="K30" i="10"/>
  <c r="J30" i="10"/>
  <c r="I30" i="10"/>
  <c r="H30" i="10"/>
  <c r="G30" i="10"/>
  <c r="K29" i="10"/>
  <c r="J29" i="10"/>
  <c r="I29" i="10"/>
  <c r="H29" i="10"/>
  <c r="G29" i="10"/>
  <c r="L29" i="10" s="1"/>
  <c r="K28" i="10"/>
  <c r="J28" i="10"/>
  <c r="I28" i="10"/>
  <c r="H28" i="10"/>
  <c r="G28" i="10"/>
  <c r="K27" i="10"/>
  <c r="J27" i="10"/>
  <c r="I27" i="10"/>
  <c r="H27" i="10"/>
  <c r="G27" i="10"/>
  <c r="L27" i="10" s="1"/>
  <c r="K26" i="10"/>
  <c r="J26" i="10"/>
  <c r="I26" i="10"/>
  <c r="H26" i="10"/>
  <c r="G26" i="10"/>
  <c r="L26" i="10" s="1"/>
  <c r="K25" i="10"/>
  <c r="J25" i="10"/>
  <c r="I25" i="10"/>
  <c r="H25" i="10"/>
  <c r="L25" i="10" s="1"/>
  <c r="G25" i="10"/>
  <c r="K24" i="10"/>
  <c r="J24" i="10"/>
  <c r="I24" i="10"/>
  <c r="H24" i="10"/>
  <c r="L24" i="10" s="1"/>
  <c r="G24" i="10"/>
  <c r="K23" i="10"/>
  <c r="J23" i="10"/>
  <c r="I23" i="10"/>
  <c r="H23" i="10"/>
  <c r="G23" i="10"/>
  <c r="L23" i="10" s="1"/>
  <c r="K22" i="10"/>
  <c r="J22" i="10"/>
  <c r="I22" i="10"/>
  <c r="H22" i="10"/>
  <c r="G22" i="10"/>
  <c r="L22" i="10" s="1"/>
  <c r="K21" i="10"/>
  <c r="J21" i="10"/>
  <c r="I21" i="10"/>
  <c r="H21" i="10"/>
  <c r="G21" i="10"/>
  <c r="L21" i="10" s="1"/>
  <c r="K20" i="10"/>
  <c r="J20" i="10"/>
  <c r="L20" i="10" s="1"/>
  <c r="I20" i="10"/>
  <c r="H20" i="10"/>
  <c r="G20" i="10"/>
  <c r="K19" i="10"/>
  <c r="J19" i="10"/>
  <c r="I19" i="10"/>
  <c r="H19" i="10"/>
  <c r="G19" i="10"/>
  <c r="K18" i="10"/>
  <c r="J18" i="10"/>
  <c r="I18" i="10"/>
  <c r="H18" i="10"/>
  <c r="G18" i="10"/>
  <c r="K17" i="10"/>
  <c r="J17" i="10"/>
  <c r="I17" i="10"/>
  <c r="H17" i="10"/>
  <c r="G17" i="10"/>
  <c r="K16" i="10"/>
  <c r="J16" i="10"/>
  <c r="I16" i="10"/>
  <c r="H16" i="10"/>
  <c r="G16" i="10"/>
  <c r="K15" i="10"/>
  <c r="J15" i="10"/>
  <c r="I15" i="10"/>
  <c r="H15" i="10"/>
  <c r="G15" i="10"/>
  <c r="K14" i="10"/>
  <c r="J14" i="10"/>
  <c r="I14" i="10"/>
  <c r="H14" i="10"/>
  <c r="G14" i="10"/>
  <c r="K13" i="10"/>
  <c r="J13" i="10"/>
  <c r="I13" i="10"/>
  <c r="H13" i="10"/>
  <c r="G13" i="10"/>
  <c r="L13" i="10" s="1"/>
  <c r="K12" i="10"/>
  <c r="J12" i="10"/>
  <c r="I12" i="10"/>
  <c r="L12" i="10" s="1"/>
  <c r="H12" i="10"/>
  <c r="G12" i="10"/>
  <c r="K11" i="10"/>
  <c r="J11" i="10"/>
  <c r="I11" i="10"/>
  <c r="H11" i="10"/>
  <c r="G11" i="10"/>
  <c r="K10" i="10"/>
  <c r="J10" i="10"/>
  <c r="I10" i="10"/>
  <c r="H10" i="10"/>
  <c r="G10" i="10"/>
  <c r="L10" i="10" s="1"/>
  <c r="K9" i="10"/>
  <c r="J9" i="10"/>
  <c r="I9" i="10"/>
  <c r="H9" i="10"/>
  <c r="L9" i="10" s="1"/>
  <c r="G9" i="10"/>
  <c r="K8" i="10"/>
  <c r="J8" i="10"/>
  <c r="I8" i="10"/>
  <c r="H8" i="10"/>
  <c r="L8" i="10" s="1"/>
  <c r="G8" i="10"/>
  <c r="K7" i="10"/>
  <c r="J7" i="10"/>
  <c r="I7" i="10"/>
  <c r="H7" i="10"/>
  <c r="G7" i="10"/>
  <c r="L7" i="10" s="1"/>
  <c r="K6" i="10"/>
  <c r="J6" i="10"/>
  <c r="I6" i="10"/>
  <c r="H6" i="10"/>
  <c r="G6" i="10"/>
  <c r="L6" i="10" s="1"/>
  <c r="K5" i="10"/>
  <c r="J5" i="10"/>
  <c r="I5" i="10"/>
  <c r="H5" i="10"/>
  <c r="G5" i="10"/>
  <c r="L5" i="10" s="1"/>
  <c r="K4" i="10"/>
  <c r="J4" i="10"/>
  <c r="L4" i="10" s="1"/>
  <c r="I4" i="10"/>
  <c r="H4" i="10"/>
  <c r="G4" i="10"/>
  <c r="G3" i="10"/>
  <c r="H3" i="10"/>
  <c r="I3" i="10"/>
  <c r="J3" i="10"/>
  <c r="K3" i="10"/>
  <c r="L181" i="10"/>
  <c r="L180" i="10"/>
  <c r="L177" i="10"/>
  <c r="L174" i="10"/>
  <c r="L171" i="10"/>
  <c r="L170" i="10"/>
  <c r="L168" i="10"/>
  <c r="L167" i="10"/>
  <c r="L165" i="10"/>
  <c r="L164" i="10"/>
  <c r="L161" i="10"/>
  <c r="L158" i="10"/>
  <c r="L155" i="10"/>
  <c r="L154" i="10"/>
  <c r="L152" i="10"/>
  <c r="L149" i="10"/>
  <c r="L148" i="10"/>
  <c r="L142" i="10"/>
  <c r="L139" i="10"/>
  <c r="L138" i="10"/>
  <c r="L136" i="10"/>
  <c r="L133" i="10"/>
  <c r="L13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L124" i="10"/>
  <c r="L123" i="10"/>
  <c r="L121" i="10"/>
  <c r="L116" i="10"/>
  <c r="L110" i="10"/>
  <c r="L108" i="10"/>
  <c r="L107" i="10"/>
  <c r="L105" i="10"/>
  <c r="L91" i="10"/>
  <c r="L90" i="10"/>
  <c r="L89" i="10"/>
  <c r="L85" i="10"/>
  <c r="L84" i="10"/>
  <c r="L69" i="10"/>
  <c r="L68" i="10"/>
  <c r="L65" i="10"/>
  <c r="L62" i="10"/>
  <c r="L60" i="10"/>
  <c r="L46" i="10"/>
  <c r="L37" i="10"/>
  <c r="L36" i="10"/>
  <c r="L30" i="10"/>
  <c r="L11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I1" i="4"/>
  <c r="H1" i="4"/>
  <c r="G1" i="4"/>
  <c r="F1" i="4"/>
  <c r="E1" i="4"/>
  <c r="D1" i="4"/>
  <c r="C1" i="4"/>
  <c r="B1" i="4"/>
  <c r="A1" i="4"/>
  <c r="D52" i="3"/>
  <c r="C52" i="3"/>
  <c r="B52" i="3"/>
  <c r="A52" i="3"/>
  <c r="J51" i="3"/>
  <c r="I51" i="3"/>
  <c r="H51" i="3"/>
  <c r="F51" i="3"/>
  <c r="E51" i="3"/>
  <c r="D51" i="3"/>
  <c r="C51" i="3"/>
  <c r="B51" i="3"/>
  <c r="A51" i="3"/>
  <c r="F50" i="3"/>
  <c r="E50" i="3"/>
  <c r="D50" i="3"/>
  <c r="C50" i="3"/>
  <c r="B50" i="3"/>
  <c r="A50" i="3"/>
  <c r="J49" i="3"/>
  <c r="F49" i="3"/>
  <c r="E49" i="3"/>
  <c r="D49" i="3"/>
  <c r="C49" i="3"/>
  <c r="B49" i="3"/>
  <c r="A49" i="3"/>
  <c r="J48" i="3"/>
  <c r="I48" i="3"/>
  <c r="H48" i="3"/>
  <c r="F48" i="3"/>
  <c r="E48" i="3"/>
  <c r="D48" i="3"/>
  <c r="C48" i="3"/>
  <c r="B48" i="3"/>
  <c r="A48" i="3"/>
  <c r="J47" i="3"/>
  <c r="I47" i="3"/>
  <c r="H47" i="3"/>
  <c r="F47" i="3"/>
  <c r="E47" i="3"/>
  <c r="D47" i="3"/>
  <c r="C47" i="3"/>
  <c r="B47" i="3"/>
  <c r="A47" i="3"/>
  <c r="J46" i="3"/>
  <c r="I46" i="3"/>
  <c r="H46" i="3"/>
  <c r="F46" i="3"/>
  <c r="E46" i="3"/>
  <c r="D46" i="3"/>
  <c r="C46" i="3"/>
  <c r="B46" i="3"/>
  <c r="A46" i="3"/>
  <c r="F45" i="3"/>
  <c r="E45" i="3"/>
  <c r="D45" i="3"/>
  <c r="C45" i="3"/>
  <c r="B45" i="3"/>
  <c r="A45" i="3"/>
  <c r="F44" i="3"/>
  <c r="E44" i="3"/>
  <c r="D44" i="3"/>
  <c r="C44" i="3"/>
  <c r="B44" i="3"/>
  <c r="A44" i="3"/>
  <c r="J43" i="3"/>
  <c r="I43" i="3"/>
  <c r="H43" i="3"/>
  <c r="F43" i="3"/>
  <c r="E43" i="3"/>
  <c r="D43" i="3"/>
  <c r="C43" i="3"/>
  <c r="B43" i="3"/>
  <c r="A43" i="3"/>
  <c r="J42" i="3"/>
  <c r="I42" i="3"/>
  <c r="H42" i="3"/>
  <c r="F42" i="3"/>
  <c r="E42" i="3"/>
  <c r="D42" i="3"/>
  <c r="C42" i="3"/>
  <c r="B42" i="3"/>
  <c r="A42" i="3"/>
  <c r="I41" i="3"/>
  <c r="H41" i="3"/>
  <c r="F41" i="3"/>
  <c r="E41" i="3"/>
  <c r="D41" i="3"/>
  <c r="C41" i="3"/>
  <c r="B41" i="3"/>
  <c r="A41" i="3"/>
  <c r="J40" i="3"/>
  <c r="I40" i="3"/>
  <c r="H40" i="3"/>
  <c r="F40" i="3"/>
  <c r="E40" i="3"/>
  <c r="D40" i="3"/>
  <c r="C40" i="3"/>
  <c r="B40" i="3"/>
  <c r="A40" i="3"/>
  <c r="F39" i="3"/>
  <c r="E39" i="3"/>
  <c r="D39" i="3"/>
  <c r="C39" i="3"/>
  <c r="B39" i="3"/>
  <c r="A39" i="3"/>
  <c r="J38" i="3"/>
  <c r="I38" i="3"/>
  <c r="H38" i="3"/>
  <c r="F38" i="3"/>
  <c r="E38" i="3"/>
  <c r="D38" i="3"/>
  <c r="C38" i="3"/>
  <c r="B38" i="3"/>
  <c r="A38" i="3"/>
  <c r="J37" i="3"/>
  <c r="I37" i="3"/>
  <c r="H37" i="3"/>
  <c r="F37" i="3"/>
  <c r="E37" i="3"/>
  <c r="D37" i="3"/>
  <c r="C37" i="3"/>
  <c r="B37" i="3"/>
  <c r="A37" i="3"/>
  <c r="J36" i="3"/>
  <c r="I36" i="3"/>
  <c r="H36" i="3"/>
  <c r="F36" i="3"/>
  <c r="E36" i="3"/>
  <c r="D36" i="3"/>
  <c r="C36" i="3"/>
  <c r="B36" i="3"/>
  <c r="A36" i="3"/>
  <c r="J35" i="3"/>
  <c r="I35" i="3"/>
  <c r="H35" i="3"/>
  <c r="F35" i="3"/>
  <c r="E35" i="3"/>
  <c r="D35" i="3"/>
  <c r="C35" i="3"/>
  <c r="B35" i="3"/>
  <c r="A35" i="3"/>
  <c r="J34" i="3"/>
  <c r="I34" i="3"/>
  <c r="H34" i="3"/>
  <c r="F34" i="3"/>
  <c r="E34" i="3"/>
  <c r="D34" i="3"/>
  <c r="C34" i="3"/>
  <c r="B34" i="3"/>
  <c r="A34" i="3"/>
  <c r="J33" i="3"/>
  <c r="I33" i="3"/>
  <c r="H33" i="3"/>
  <c r="F33" i="3"/>
  <c r="E33" i="3"/>
  <c r="D33" i="3"/>
  <c r="C33" i="3"/>
  <c r="B33" i="3"/>
  <c r="A33" i="3"/>
  <c r="J32" i="3"/>
  <c r="I32" i="3"/>
  <c r="H32" i="3"/>
  <c r="F32" i="3"/>
  <c r="E32" i="3"/>
  <c r="D32" i="3"/>
  <c r="C32" i="3"/>
  <c r="B32" i="3"/>
  <c r="A32" i="3"/>
  <c r="J31" i="3"/>
  <c r="I31" i="3"/>
  <c r="H31" i="3"/>
  <c r="F31" i="3"/>
  <c r="E31" i="3"/>
  <c r="D31" i="3"/>
  <c r="C31" i="3"/>
  <c r="B31" i="3"/>
  <c r="A31" i="3"/>
  <c r="J30" i="3"/>
  <c r="I30" i="3"/>
  <c r="H30" i="3"/>
  <c r="F30" i="3"/>
  <c r="E30" i="3"/>
  <c r="D30" i="3"/>
  <c r="C30" i="3"/>
  <c r="B30" i="3"/>
  <c r="A30" i="3"/>
  <c r="J29" i="3"/>
  <c r="I29" i="3"/>
  <c r="H29" i="3"/>
  <c r="F29" i="3"/>
  <c r="E29" i="3"/>
  <c r="D29" i="3"/>
  <c r="C29" i="3"/>
  <c r="B29" i="3"/>
  <c r="A29" i="3"/>
  <c r="J28" i="3"/>
  <c r="I28" i="3"/>
  <c r="H28" i="3"/>
  <c r="F28" i="3"/>
  <c r="E28" i="3"/>
  <c r="D28" i="3"/>
  <c r="C28" i="3"/>
  <c r="B28" i="3"/>
  <c r="A28" i="3"/>
  <c r="J27" i="3"/>
  <c r="I27" i="3"/>
  <c r="H27" i="3"/>
  <c r="F27" i="3"/>
  <c r="E27" i="3"/>
  <c r="D27" i="3"/>
  <c r="C27" i="3"/>
  <c r="B27" i="3"/>
  <c r="A27" i="3"/>
  <c r="J26" i="3"/>
  <c r="I26" i="3"/>
  <c r="H26" i="3"/>
  <c r="F26" i="3"/>
  <c r="E26" i="3"/>
  <c r="D26" i="3"/>
  <c r="C26" i="3"/>
  <c r="B26" i="3"/>
  <c r="A26" i="3"/>
  <c r="J25" i="3"/>
  <c r="I25" i="3"/>
  <c r="H25" i="3"/>
  <c r="F25" i="3"/>
  <c r="E25" i="3"/>
  <c r="D25" i="3"/>
  <c r="C25" i="3"/>
  <c r="B25" i="3"/>
  <c r="A25" i="3"/>
  <c r="J24" i="3"/>
  <c r="I24" i="3"/>
  <c r="H24" i="3"/>
  <c r="F24" i="3"/>
  <c r="E24" i="3"/>
  <c r="D24" i="3"/>
  <c r="C24" i="3"/>
  <c r="B24" i="3"/>
  <c r="A24" i="3"/>
  <c r="J23" i="3"/>
  <c r="I23" i="3"/>
  <c r="H23" i="3"/>
  <c r="F23" i="3"/>
  <c r="E23" i="3"/>
  <c r="D23" i="3"/>
  <c r="C23" i="3"/>
  <c r="B23" i="3"/>
  <c r="A23" i="3"/>
  <c r="J22" i="3"/>
  <c r="I22" i="3"/>
  <c r="H22" i="3"/>
  <c r="F22" i="3"/>
  <c r="E22" i="3"/>
  <c r="D22" i="3"/>
  <c r="C22" i="3"/>
  <c r="B22" i="3"/>
  <c r="A22" i="3"/>
  <c r="J21" i="3"/>
  <c r="I21" i="3"/>
  <c r="H21" i="3"/>
  <c r="F21" i="3"/>
  <c r="E21" i="3"/>
  <c r="D21" i="3"/>
  <c r="C21" i="3"/>
  <c r="B21" i="3"/>
  <c r="A21" i="3"/>
  <c r="J20" i="3"/>
  <c r="I20" i="3"/>
  <c r="H20" i="3"/>
  <c r="F20" i="3"/>
  <c r="E20" i="3"/>
  <c r="D20" i="3"/>
  <c r="C20" i="3"/>
  <c r="B20" i="3"/>
  <c r="A20" i="3"/>
  <c r="J19" i="3"/>
  <c r="I19" i="3"/>
  <c r="H19" i="3"/>
  <c r="F19" i="3"/>
  <c r="E19" i="3"/>
  <c r="D19" i="3"/>
  <c r="C19" i="3"/>
  <c r="B19" i="3"/>
  <c r="A19" i="3"/>
  <c r="J18" i="3"/>
  <c r="I18" i="3"/>
  <c r="H18" i="3"/>
  <c r="F18" i="3"/>
  <c r="E18" i="3"/>
  <c r="D18" i="3"/>
  <c r="C18" i="3"/>
  <c r="B18" i="3"/>
  <c r="A18" i="3"/>
  <c r="J17" i="3"/>
  <c r="I17" i="3"/>
  <c r="H17" i="3"/>
  <c r="F17" i="3"/>
  <c r="E17" i="3"/>
  <c r="D17" i="3"/>
  <c r="C17" i="3"/>
  <c r="B17" i="3"/>
  <c r="A17" i="3"/>
  <c r="J16" i="3"/>
  <c r="I16" i="3"/>
  <c r="H16" i="3"/>
  <c r="G16" i="3"/>
  <c r="F16" i="3"/>
  <c r="E16" i="3"/>
  <c r="D16" i="3"/>
  <c r="C16" i="3"/>
  <c r="B16" i="3"/>
  <c r="A16" i="3"/>
  <c r="J15" i="3"/>
  <c r="I15" i="3"/>
  <c r="H15" i="3"/>
  <c r="G15" i="3"/>
  <c r="F15" i="3"/>
  <c r="E15" i="3"/>
  <c r="D15" i="3"/>
  <c r="C15" i="3"/>
  <c r="B15" i="3"/>
  <c r="A15" i="3"/>
  <c r="J14" i="3"/>
  <c r="I14" i="3"/>
  <c r="H14" i="3"/>
  <c r="G14" i="3"/>
  <c r="F14" i="3"/>
  <c r="E14" i="3"/>
  <c r="D14" i="3"/>
  <c r="C14" i="3"/>
  <c r="B14" i="3"/>
  <c r="A14" i="3"/>
  <c r="J13" i="3"/>
  <c r="I13" i="3"/>
  <c r="H13" i="3"/>
  <c r="G13" i="3"/>
  <c r="F13" i="3"/>
  <c r="E13" i="3"/>
  <c r="D13" i="3"/>
  <c r="C13" i="3"/>
  <c r="B13" i="3"/>
  <c r="A13" i="3"/>
  <c r="J12" i="3"/>
  <c r="I12" i="3"/>
  <c r="H12" i="3"/>
  <c r="G12" i="3"/>
  <c r="F12" i="3"/>
  <c r="E12" i="3"/>
  <c r="D12" i="3"/>
  <c r="C12" i="3"/>
  <c r="B12" i="3"/>
  <c r="A12" i="3"/>
  <c r="J11" i="3"/>
  <c r="I11" i="3"/>
  <c r="H11" i="3"/>
  <c r="G11" i="3"/>
  <c r="F11" i="3"/>
  <c r="E11" i="3"/>
  <c r="D11" i="3"/>
  <c r="C11" i="3"/>
  <c r="B11" i="3"/>
  <c r="A11" i="3"/>
  <c r="J10" i="3"/>
  <c r="I10" i="3"/>
  <c r="H10" i="3"/>
  <c r="G10" i="3"/>
  <c r="F10" i="3"/>
  <c r="E10" i="3"/>
  <c r="D10" i="3"/>
  <c r="C10" i="3"/>
  <c r="B10" i="3"/>
  <c r="A10" i="3"/>
  <c r="J9" i="3"/>
  <c r="I9" i="3"/>
  <c r="H9" i="3"/>
  <c r="G9" i="3"/>
  <c r="F9" i="3"/>
  <c r="E9" i="3"/>
  <c r="D9" i="3"/>
  <c r="C9" i="3"/>
  <c r="B9" i="3"/>
  <c r="A9" i="3"/>
  <c r="J8" i="3"/>
  <c r="I8" i="3"/>
  <c r="H8" i="3"/>
  <c r="G8" i="3"/>
  <c r="F8" i="3"/>
  <c r="E8" i="3"/>
  <c r="D8" i="3"/>
  <c r="C8" i="3"/>
  <c r="B8" i="3"/>
  <c r="A8" i="3"/>
  <c r="J7" i="3"/>
  <c r="I7" i="3"/>
  <c r="H7" i="3"/>
  <c r="G7" i="3"/>
  <c r="F7" i="3"/>
  <c r="E7" i="3"/>
  <c r="D7" i="3"/>
  <c r="C7" i="3"/>
  <c r="B7" i="3"/>
  <c r="A7" i="3"/>
  <c r="J6" i="3"/>
  <c r="I6" i="3"/>
  <c r="H6" i="3"/>
  <c r="G6" i="3"/>
  <c r="F6" i="3"/>
  <c r="E6" i="3"/>
  <c r="D6" i="3"/>
  <c r="C6" i="3"/>
  <c r="B6" i="3"/>
  <c r="A6" i="3"/>
  <c r="J5" i="3"/>
  <c r="I5" i="3"/>
  <c r="H5" i="3"/>
  <c r="G5" i="3"/>
  <c r="F5" i="3"/>
  <c r="E5" i="3"/>
  <c r="D5" i="3"/>
  <c r="C5" i="3"/>
  <c r="B5" i="3"/>
  <c r="A5" i="3"/>
  <c r="J4" i="3"/>
  <c r="I4" i="3"/>
  <c r="H4" i="3"/>
  <c r="G4" i="3"/>
  <c r="F4" i="3"/>
  <c r="E4" i="3"/>
  <c r="D4" i="3"/>
  <c r="C4" i="3"/>
  <c r="B4" i="3"/>
  <c r="A4" i="3"/>
  <c r="J3" i="3"/>
  <c r="I3" i="3"/>
  <c r="H3" i="3"/>
  <c r="G3" i="3"/>
  <c r="F3" i="3"/>
  <c r="E3" i="3"/>
  <c r="D3" i="3"/>
  <c r="C3" i="3"/>
  <c r="B3" i="3"/>
  <c r="A3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I47" i="1"/>
  <c r="L19" i="10" l="1"/>
  <c r="L28" i="10"/>
  <c r="L35" i="10"/>
  <c r="L51" i="10"/>
  <c r="L63" i="10"/>
  <c r="L67" i="10"/>
  <c r="L79" i="10"/>
  <c r="L83" i="10"/>
  <c r="L86" i="10"/>
  <c r="L102" i="10"/>
  <c r="L3" i="10"/>
  <c r="L16" i="10"/>
  <c r="L48" i="10"/>
  <c r="L80" i="10"/>
  <c r="L64" i="10"/>
  <c r="L96" i="10"/>
  <c r="L18" i="10"/>
  <c r="L34" i="10"/>
  <c r="L50" i="10"/>
  <c r="L88" i="10"/>
  <c r="L14" i="10"/>
  <c r="L32" i="10"/>
  <c r="L99" i="10"/>
  <c r="L17" i="10"/>
  <c r="L15" i="10"/>
</calcChain>
</file>

<file path=xl/sharedStrings.xml><?xml version="1.0" encoding="utf-8"?>
<sst xmlns="http://schemas.openxmlformats.org/spreadsheetml/2006/main" count="4599" uniqueCount="963">
  <si>
    <t>Personal project - contact Darragh Carroll for amendments/updates @darraghcphotography</t>
  </si>
  <si>
    <t>Region</t>
  </si>
  <si>
    <t>Category (25/26)</t>
  </si>
  <si>
    <t>Society</t>
  </si>
  <si>
    <t>Show</t>
  </si>
  <si>
    <t>Opening</t>
  </si>
  <si>
    <t>Closing</t>
  </si>
  <si>
    <t>Adjudicator date</t>
  </si>
  <si>
    <t>Review Online</t>
  </si>
  <si>
    <t>Director</t>
  </si>
  <si>
    <t>Musical Director</t>
  </si>
  <si>
    <t>Choreographer</t>
  </si>
  <si>
    <t>Northern</t>
  </si>
  <si>
    <t>Sullivan</t>
  </si>
  <si>
    <t>Portrush Music Society</t>
  </si>
  <si>
    <t>My Fair Lady</t>
  </si>
  <si>
    <t>link</t>
  </si>
  <si>
    <t>Kerry Kane</t>
  </si>
  <si>
    <t>Terry Cloughley</t>
  </si>
  <si>
    <t>Rosemary O’Connor</t>
  </si>
  <si>
    <t>Gilbert</t>
  </si>
  <si>
    <t>Jack Cunningham Productions</t>
  </si>
  <si>
    <t>All Shook Up</t>
  </si>
  <si>
    <t>Jack Cunningham</t>
  </si>
  <si>
    <t>Andrew Lane</t>
  </si>
  <si>
    <t>Western</t>
  </si>
  <si>
    <t>Bravo Theatre Group</t>
  </si>
  <si>
    <t>Come From Away</t>
  </si>
  <si>
    <t>Aoife McClafferty</t>
  </si>
  <si>
    <t>Shane Farrell</t>
  </si>
  <si>
    <t>St. Agnes Choral Society</t>
  </si>
  <si>
    <t>Rachel Logan-Fee</t>
  </si>
  <si>
    <t>Andrew Robinson</t>
  </si>
  <si>
    <t>Amy Blackshaw</t>
  </si>
  <si>
    <t>North Wexford Musical Theatre</t>
  </si>
  <si>
    <t>Into The Woods</t>
  </si>
  <si>
    <t>Róisín Currid</t>
  </si>
  <si>
    <t>Conor McCarthy</t>
  </si>
  <si>
    <t>Ulster Operatic Company</t>
  </si>
  <si>
    <t xml:space="preserve">9 to 5 </t>
  </si>
  <si>
    <t>Tony Finnegan</t>
  </si>
  <si>
    <t>Wilson Shields</t>
  </si>
  <si>
    <t>Matthew Watson</t>
  </si>
  <si>
    <t>Eastern</t>
  </si>
  <si>
    <t>Dundalk Musical Society</t>
  </si>
  <si>
    <t>Elizabeth Freeburn</t>
  </si>
  <si>
    <t>Daniel Maguire</t>
  </si>
  <si>
    <t>Tullyvin MS</t>
  </si>
  <si>
    <t>Made in Dagenham</t>
  </si>
  <si>
    <t>Aoife Shalvey</t>
  </si>
  <si>
    <t>Dave McGauran</t>
  </si>
  <si>
    <t>Aisling Rountree</t>
  </si>
  <si>
    <t>Midlands</t>
  </si>
  <si>
    <t>The Odd Theatre Company</t>
  </si>
  <si>
    <t>Jesus Christ Superstar</t>
  </si>
  <si>
    <t>Cian O'Dowd</t>
  </si>
  <si>
    <t>Keelin Kilduff</t>
  </si>
  <si>
    <t>Áine Foley</t>
  </si>
  <si>
    <t>Rodgers &amp; Hammerstein's Cinderella</t>
  </si>
  <si>
    <t>Sharon McNamara</t>
  </si>
  <si>
    <t>Amy Penston-Hendley</t>
  </si>
  <si>
    <t>Bernie O'Sullivan</t>
  </si>
  <si>
    <t>BOSCO (Newry)</t>
  </si>
  <si>
    <t>Beauty and the Beast</t>
  </si>
  <si>
    <t>Connie McCaughey</t>
  </si>
  <si>
    <t>Aislinn McGinn</t>
  </si>
  <si>
    <t>Ann Marie Morgan</t>
  </si>
  <si>
    <t>Muse Productions</t>
  </si>
  <si>
    <t>RENT</t>
  </si>
  <si>
    <t>Martin McNelis</t>
  </si>
  <si>
    <t>Mary-Rose McNally</t>
  </si>
  <si>
    <t>Jay Molyneux</t>
  </si>
  <si>
    <t>Curtains</t>
  </si>
  <si>
    <t>Jennifer O'Brien</t>
  </si>
  <si>
    <t>Barry Power</t>
  </si>
  <si>
    <t>Susan Browne</t>
  </si>
  <si>
    <t>Elaine Davern</t>
  </si>
  <si>
    <t>HXT MS</t>
  </si>
  <si>
    <t>The Addams Family</t>
  </si>
  <si>
    <t>Niamh McGowan</t>
  </si>
  <si>
    <t>Dermot O'Callaghan</t>
  </si>
  <si>
    <t>Lauren Dooley</t>
  </si>
  <si>
    <t>The Wizard of Oz</t>
  </si>
  <si>
    <t>Laura Kerr</t>
  </si>
  <si>
    <t>Mark Tilley</t>
  </si>
  <si>
    <t>Coolmine MS</t>
  </si>
  <si>
    <t>Anything Goes</t>
  </si>
  <si>
    <t>EJ Reilly</t>
  </si>
  <si>
    <t>Caitriona Ni Threasaigh</t>
  </si>
  <si>
    <t>Nicold McDonald</t>
  </si>
  <si>
    <t>St. Patricks Choral Society</t>
  </si>
  <si>
    <t>Annie</t>
  </si>
  <si>
    <t>Gary Warnock</t>
  </si>
  <si>
    <t>Alex McFarlane</t>
  </si>
  <si>
    <t>St. Michael's Theatre Musical Society</t>
  </si>
  <si>
    <t>Sister Act</t>
  </si>
  <si>
    <t>Kevin Kennedy</t>
  </si>
  <si>
    <t>Philip Kennedy</t>
  </si>
  <si>
    <t>Claire Kickham</t>
  </si>
  <si>
    <t>The Wedding Singer</t>
  </si>
  <si>
    <t>Namh O'Brien/Julie Bowell</t>
  </si>
  <si>
    <t>Dario Regazzi</t>
  </si>
  <si>
    <t>Niamh O'Brien</t>
  </si>
  <si>
    <t>Greasepaint Productions</t>
  </si>
  <si>
    <t>Calendar Girls</t>
  </si>
  <si>
    <t>Dónall Henderson</t>
  </si>
  <si>
    <t>Noel Thompson</t>
  </si>
  <si>
    <t>NE Musical and Dramatic Society</t>
  </si>
  <si>
    <t>Gavin Quigley</t>
  </si>
  <si>
    <t>Shane McVicker</t>
  </si>
  <si>
    <t>Jordan Rosborough</t>
  </si>
  <si>
    <t>Alan Greaney</t>
  </si>
  <si>
    <t>Boyle Musical Society</t>
  </si>
  <si>
    <t>Karen Gordon</t>
  </si>
  <si>
    <t>Anne Kielty</t>
  </si>
  <si>
    <t>Eimear Mulvey</t>
  </si>
  <si>
    <t>Cecilian MS Limerick</t>
  </si>
  <si>
    <t>We Will Rock You</t>
  </si>
  <si>
    <t>Des Henn</t>
  </si>
  <si>
    <t>Barbara Meaney</t>
  </si>
  <si>
    <t>West Side Story</t>
  </si>
  <si>
    <t>Gráinne O'Carroll</t>
  </si>
  <si>
    <t>Aidan O'Carroll</t>
  </si>
  <si>
    <t>Aileen Murphy</t>
  </si>
  <si>
    <t>Terese Dunne and Moya Hodgers</t>
  </si>
  <si>
    <t>Patrick Dunne</t>
  </si>
  <si>
    <t>Sarah Dunne, EJ Dunne, Tara Gill and Terese Dunne</t>
  </si>
  <si>
    <t>Oyster Lane Theatre Group</t>
  </si>
  <si>
    <t>Jonny Smith</t>
  </si>
  <si>
    <t>Patrick Clancy</t>
  </si>
  <si>
    <t>Carnew MS</t>
  </si>
  <si>
    <t>Hello Dolly</t>
  </si>
  <si>
    <t>Michael Dunbar</t>
  </si>
  <si>
    <t>Emer Hartnett</t>
  </si>
  <si>
    <t>Graham Finnerty</t>
  </si>
  <si>
    <t>Trinity Musical Theatre</t>
  </si>
  <si>
    <t>Spring Awakening</t>
  </si>
  <si>
    <t>Juliet Hill</t>
  </si>
  <si>
    <t>Sarah Doherty</t>
  </si>
  <si>
    <t>Grace Skowronski</t>
  </si>
  <si>
    <t>Ballywillan Drama Group</t>
  </si>
  <si>
    <t>Guys and Dolls</t>
  </si>
  <si>
    <t>Brian Logan</t>
  </si>
  <si>
    <t>Laura Fisher / Sharon Logan</t>
  </si>
  <si>
    <t>Claremorris Musical Society</t>
  </si>
  <si>
    <t>Charlie and the Chocolate Factory</t>
  </si>
  <si>
    <t>Donna Ruane</t>
  </si>
  <si>
    <t>Deirdre Lee</t>
  </si>
  <si>
    <t>GUMS</t>
  </si>
  <si>
    <t>Follies</t>
  </si>
  <si>
    <t>Keith Hanley</t>
  </si>
  <si>
    <t>Abbie Flannery</t>
  </si>
  <si>
    <t>Emily Smith</t>
  </si>
  <si>
    <t>Killarney Musical Society</t>
  </si>
  <si>
    <t>Oliver Hurley</t>
  </si>
  <si>
    <t>Jimmy Brockie</t>
  </si>
  <si>
    <t>Shannon MS</t>
  </si>
  <si>
    <t>Michael Anthony Greene</t>
  </si>
  <si>
    <t>Carmel Griffin</t>
  </si>
  <si>
    <t>Stephen O'Ríain</t>
  </si>
  <si>
    <t>Aghada Centre Theatre Group</t>
  </si>
  <si>
    <t>Legally Blonde</t>
  </si>
  <si>
    <t>Sinead Dunlea</t>
  </si>
  <si>
    <t>Robbie Pender</t>
  </si>
  <si>
    <t>Chloe O'Leary</t>
  </si>
  <si>
    <t>Malahide Musical &amp; Dramatic Society</t>
  </si>
  <si>
    <t>The Witches of Eastwick</t>
  </si>
  <si>
    <t>Karen McCourt</t>
  </si>
  <si>
    <t>Tipperary Musical Society</t>
  </si>
  <si>
    <t>Sweeney Todd</t>
  </si>
  <si>
    <t>David Hennessy</t>
  </si>
  <si>
    <t>Amanda Kearns</t>
  </si>
  <si>
    <t>Tullamore Musical Society</t>
  </si>
  <si>
    <t>Chris Coroon</t>
  </si>
  <si>
    <t>Enda O'Connor</t>
  </si>
  <si>
    <t>Laura Douglas</t>
  </si>
  <si>
    <t>Entr'acte</t>
  </si>
  <si>
    <t>Roisin Heenan</t>
  </si>
  <si>
    <t>Carrie</t>
  </si>
  <si>
    <t>Fionn O'Neill</t>
  </si>
  <si>
    <t>Cuan Egan</t>
  </si>
  <si>
    <t>Doireann McAuley</t>
  </si>
  <si>
    <t>Hadestown: Teen Edition</t>
  </si>
  <si>
    <t>Lisa Kelly</t>
  </si>
  <si>
    <t>Niall Kelly</t>
  </si>
  <si>
    <t>Keith Dwyer Greene</t>
  </si>
  <si>
    <t>Trim Musical Society</t>
  </si>
  <si>
    <t>Emma Thornton</t>
  </si>
  <si>
    <t>Ben Cully</t>
  </si>
  <si>
    <t>Athlone MS</t>
  </si>
  <si>
    <t>Dominic Reid</t>
  </si>
  <si>
    <t>Ger Madden</t>
  </si>
  <si>
    <t>Kori Kilduff</t>
  </si>
  <si>
    <t>Naas Musical Society</t>
  </si>
  <si>
    <t>Mairead McKenna</t>
  </si>
  <si>
    <t>Letterkenny Musical Society</t>
  </si>
  <si>
    <t>Maria Rushe</t>
  </si>
  <si>
    <t>Mark Bradley</t>
  </si>
  <si>
    <t>Londonderry Musical Society</t>
  </si>
  <si>
    <t>Kinky Boots</t>
  </si>
  <si>
    <t>Alan McClarty</t>
  </si>
  <si>
    <t>Peter Doherty</t>
  </si>
  <si>
    <t>Drogheda Musical Society</t>
  </si>
  <si>
    <t>Sarah Louisa Nolan</t>
  </si>
  <si>
    <t>Megan Monerawela</t>
  </si>
  <si>
    <t>Aisling Nally</t>
  </si>
  <si>
    <t>MIDAS</t>
  </si>
  <si>
    <t>Spongebob Squarepants</t>
  </si>
  <si>
    <t>Bróna McGlinchey</t>
  </si>
  <si>
    <t>Michael Young</t>
  </si>
  <si>
    <t>Emily Flynn</t>
  </si>
  <si>
    <t>New Ross Musical Society</t>
  </si>
  <si>
    <t>Me and My Girl</t>
  </si>
  <si>
    <t>Derek Shannon</t>
  </si>
  <si>
    <t>Anne-Marie Cooney</t>
  </si>
  <si>
    <t>Mitchelstown Musical Society</t>
  </si>
  <si>
    <t>Eamon O'Malley</t>
  </si>
  <si>
    <t>`Henry James Fitzgerald</t>
  </si>
  <si>
    <t>Limerick Musical Society</t>
  </si>
  <si>
    <t>Michael Collins</t>
  </si>
  <si>
    <t>Rush Musical Society</t>
  </si>
  <si>
    <t>The Drowsy Chaperone</t>
  </si>
  <si>
    <t>Wilfie Pyper</t>
  </si>
  <si>
    <t>Sarah Lynch Barrett</t>
  </si>
  <si>
    <t>Eimear Sheridan</t>
  </si>
  <si>
    <t>Jekyll &amp; Hyde</t>
  </si>
  <si>
    <t>Serena Salmon</t>
  </si>
  <si>
    <t>Nenagh Choral Society</t>
  </si>
  <si>
    <t>Evita</t>
  </si>
  <si>
    <t>Greg Browne</t>
  </si>
  <si>
    <t>Laura Kearney</t>
  </si>
  <si>
    <t>Megan Maher</t>
  </si>
  <si>
    <t>Thurles Musical Society</t>
  </si>
  <si>
    <t>The Hunchback of Notre Dame</t>
  </si>
  <si>
    <t>Youghal Musical Society</t>
  </si>
  <si>
    <t>Fiddler on the Roof</t>
  </si>
  <si>
    <t>Seamus Power</t>
  </si>
  <si>
    <t>Anna O' Sullivan</t>
  </si>
  <si>
    <t>Kate O'Callaghan</t>
  </si>
  <si>
    <t>Castlerea Musical Society</t>
  </si>
  <si>
    <r>
      <rPr>
        <strike/>
        <sz val="11"/>
        <color rgb="FF000000"/>
        <rFont val="Arial"/>
        <scheme val="minor"/>
      </rPr>
      <t>Oklahoma Calendar Girls</t>
    </r>
    <r>
      <rPr>
        <sz val="11"/>
        <color rgb="FF000000"/>
        <rFont val="Arial"/>
        <scheme val="minor"/>
      </rPr>
      <t xml:space="preserve"> CANCELLED</t>
    </r>
  </si>
  <si>
    <t>n/a</t>
  </si>
  <si>
    <t>Birr Stage Guild</t>
  </si>
  <si>
    <r>
      <rPr>
        <strike/>
        <sz val="11"/>
        <color rgb="FF000000"/>
        <rFont val="Arial"/>
        <scheme val="minor"/>
      </rPr>
      <t xml:space="preserve">Sister Act  </t>
    </r>
    <r>
      <rPr>
        <sz val="11"/>
        <color rgb="FF000000"/>
        <rFont val="Arial"/>
        <scheme val="minor"/>
      </rPr>
      <t>CANCELLED</t>
    </r>
  </si>
  <si>
    <t>Carrick-on-Suir Musical Society</t>
  </si>
  <si>
    <t>Man of La Mancha</t>
  </si>
  <si>
    <t>Andrew Holden</t>
  </si>
  <si>
    <t>Fergal Carroll</t>
  </si>
  <si>
    <t>Claire O'Hara</t>
  </si>
  <si>
    <t>Shrek</t>
  </si>
  <si>
    <t>Ronan Lardner</t>
  </si>
  <si>
    <t>Ballyshannon Musical Society</t>
  </si>
  <si>
    <t>The Sound of Music</t>
  </si>
  <si>
    <t>Castlebar Musical &amp; Dramatic Society</t>
  </si>
  <si>
    <t>Claudia O'Sullivan</t>
  </si>
  <si>
    <t>Stephen Fagan</t>
  </si>
  <si>
    <t>Belfast Operatic Company</t>
  </si>
  <si>
    <t>Bonnie &amp; Clyde</t>
  </si>
  <si>
    <t>SGPA</t>
  </si>
  <si>
    <t>Grease</t>
  </si>
  <si>
    <t>Fermanagh Musical Theatre</t>
  </si>
  <si>
    <t>Nenagh Choral Society Youth Academy</t>
  </si>
  <si>
    <t>Young Frankenstein</t>
  </si>
  <si>
    <t>The Clockmaker's Daughter</t>
  </si>
  <si>
    <t>Fermoy Musical Society</t>
  </si>
  <si>
    <t>Encore (Cabaret night)</t>
  </si>
  <si>
    <t>Garry Mountaine</t>
  </si>
  <si>
    <t>Vicky Kenny</t>
  </si>
  <si>
    <t>David Hayes</t>
  </si>
  <si>
    <t>Tralee Musical Society</t>
  </si>
  <si>
    <t>The Clockmaker's Daughter (Reprise)</t>
  </si>
  <si>
    <t>Portlaoise MS</t>
  </si>
  <si>
    <t>Art McGauran</t>
  </si>
  <si>
    <t>Lea Carroll</t>
  </si>
  <si>
    <t>Non-AIMS</t>
  </si>
  <si>
    <t>East Clare Musical Society</t>
  </si>
  <si>
    <t>Queen's Musical Theatre Society</t>
  </si>
  <si>
    <t>Gorey Musical Society</t>
  </si>
  <si>
    <t>Megan Lopez</t>
  </si>
  <si>
    <t>UCC Musical Theatre Society</t>
  </si>
  <si>
    <t>James O’Connor</t>
  </si>
  <si>
    <t>Emmeline Turley</t>
  </si>
  <si>
    <t>Michael Healy</t>
  </si>
  <si>
    <t>Ennis Musical Society</t>
  </si>
  <si>
    <t>Jessica Bray</t>
  </si>
  <si>
    <t>Pop-up Theatre Sligo</t>
  </si>
  <si>
    <t>Rock of Ages</t>
  </si>
  <si>
    <t>scheduled</t>
  </si>
  <si>
    <t>Niamh Crowley</t>
  </si>
  <si>
    <t>Ciara Frahill</t>
  </si>
  <si>
    <t>Ballinrobe Musical Society</t>
  </si>
  <si>
    <r>
      <rPr>
        <strike/>
        <sz val="11"/>
        <color rgb="FF000000"/>
        <rFont val="Arial"/>
        <scheme val="minor"/>
      </rPr>
      <t xml:space="preserve">Michael Collins: A Musical Drama </t>
    </r>
    <r>
      <rPr>
        <sz val="11"/>
        <color rgb="FF000000"/>
        <rFont val="Arial"/>
        <scheme val="minor"/>
      </rPr>
      <t>FROZEN</t>
    </r>
  </si>
  <si>
    <t>Clara Musical Society</t>
  </si>
  <si>
    <t>Frozen</t>
  </si>
  <si>
    <t>Alan Recks</t>
  </si>
  <si>
    <t>Maria Fowler</t>
  </si>
  <si>
    <t>Bray Musical Society</t>
  </si>
  <si>
    <t>Chris Currid</t>
  </si>
  <si>
    <t>Elizabeth Gregan</t>
  </si>
  <si>
    <t>Roisin Currid</t>
  </si>
  <si>
    <t>Dunboyne MS</t>
  </si>
  <si>
    <t>Rock Of Ages</t>
  </si>
  <si>
    <t>Orla Mulreid-Deane</t>
  </si>
  <si>
    <t>Gráinne Kennedy</t>
  </si>
  <si>
    <t>Enniscorthy Musical Society</t>
  </si>
  <si>
    <t>Chess</t>
  </si>
  <si>
    <t>Avonmore MS</t>
  </si>
  <si>
    <t>Martina Lynch</t>
  </si>
  <si>
    <r>
      <rPr>
        <strike/>
        <sz val="11"/>
        <color rgb="FF000000"/>
        <rFont val="Arial"/>
      </rPr>
      <t>The Witches of Eastwick</t>
    </r>
    <r>
      <rPr>
        <sz val="11"/>
        <color rgb="FF000000"/>
        <rFont val="Arial"/>
      </rPr>
      <t xml:space="preserve">   Anything Goes</t>
    </r>
  </si>
  <si>
    <t>Galway Musical Society</t>
  </si>
  <si>
    <t>Pippin</t>
  </si>
  <si>
    <t>Kilmacud Musical Society</t>
  </si>
  <si>
    <t>Rachel Bermingham</t>
  </si>
  <si>
    <t>MU Musical Society</t>
  </si>
  <si>
    <t>The Prince of Egypt</t>
  </si>
  <si>
    <t>Dear Evan Hansen</t>
  </si>
  <si>
    <t>Baldoyle Musical Society</t>
  </si>
  <si>
    <t>Leixlip MVG</t>
  </si>
  <si>
    <t>FAME</t>
  </si>
  <si>
    <t>Claire Tighe</t>
  </si>
  <si>
    <t>Claire Tighe / Jen Dawson</t>
  </si>
  <si>
    <t>Fortwilliam Musical Society</t>
  </si>
  <si>
    <t>Roscrea Musical Society</t>
  </si>
  <si>
    <t>Letterkenny MDG</t>
  </si>
  <si>
    <t>The Band</t>
  </si>
  <si>
    <t>A Christmas Carol</t>
  </si>
  <si>
    <t>Sligo Musical Society</t>
  </si>
  <si>
    <t>David McEvoy</t>
  </si>
  <si>
    <t>Charles O'Connor</t>
  </si>
  <si>
    <t>Thomas Spratt</t>
  </si>
  <si>
    <t>St. Brendan’s Choral &amp; Dramatic Society Loughrea</t>
  </si>
  <si>
    <r>
      <rPr>
        <strike/>
        <sz val="11"/>
        <color rgb="FF000000"/>
        <rFont val="Arial"/>
      </rPr>
      <t xml:space="preserve">Fiddler on the Roof </t>
    </r>
    <r>
      <rPr>
        <sz val="11"/>
        <color rgb="FF000000"/>
        <rFont val="Arial"/>
      </rPr>
      <t>Little Shop of Horrors</t>
    </r>
  </si>
  <si>
    <t>Shane Farrel</t>
  </si>
  <si>
    <t>Ratoath Musical Society</t>
  </si>
  <si>
    <t>David O'Connor</t>
  </si>
  <si>
    <t>Waterford MS</t>
  </si>
  <si>
    <t>Calamity Jane</t>
  </si>
  <si>
    <t>Ray Collins</t>
  </si>
  <si>
    <t>Wayne Brown</t>
  </si>
  <si>
    <t>Ali Reville</t>
  </si>
  <si>
    <t>WLOS</t>
  </si>
  <si>
    <t>Christine Scarry</t>
  </si>
  <si>
    <t>Therese O'Sullivan</t>
  </si>
  <si>
    <t>Category (TBC)</t>
  </si>
  <si>
    <t>Month</t>
  </si>
  <si>
    <t>9 to 5</t>
  </si>
  <si>
    <t>Kate Faherty</t>
  </si>
  <si>
    <t>Beauty &amp; The Beast</t>
  </si>
  <si>
    <t>Feb</t>
  </si>
  <si>
    <t>Guys and Dolls: Guy Harder</t>
  </si>
  <si>
    <t>Little Shop of Horrors</t>
  </si>
  <si>
    <t>SMTMS</t>
  </si>
  <si>
    <t>Michael Collins: A Musical Drama</t>
  </si>
  <si>
    <t>Newsies</t>
  </si>
  <si>
    <t>Gavin Murphy</t>
  </si>
  <si>
    <t>Leah Meagher</t>
  </si>
  <si>
    <t>Next To Normal</t>
  </si>
  <si>
    <t>NO SHOW THIS SEASON</t>
  </si>
  <si>
    <t>Our House</t>
  </si>
  <si>
    <t>Penzane! The Pirates Musical (New)</t>
  </si>
  <si>
    <t>The DCG Project</t>
  </si>
  <si>
    <t>Griffo</t>
  </si>
  <si>
    <t>Chris Corroon</t>
  </si>
  <si>
    <t>Orla Mulreid Deane</t>
  </si>
  <si>
    <t>Sweet Charity</t>
  </si>
  <si>
    <t>Thunderstruck Productions</t>
  </si>
  <si>
    <t>Kilkenny Musical Society</t>
  </si>
  <si>
    <t>The Hired Man</t>
  </si>
  <si>
    <t>Kill Musical &amp; Dramatic Society</t>
  </si>
  <si>
    <t>The Little Mermaid</t>
  </si>
  <si>
    <t>Ria Purcell</t>
  </si>
  <si>
    <t>The Producers</t>
  </si>
  <si>
    <t>Sean MacMathuna</t>
  </si>
  <si>
    <t>Urinetown</t>
  </si>
  <si>
    <t>Geoff Woods</t>
  </si>
  <si>
    <t>Bernie</t>
  </si>
  <si>
    <t>Fun House Theatre Company</t>
  </si>
  <si>
    <t>Wonderland</t>
  </si>
  <si>
    <t>Carrigaline Musical Society</t>
  </si>
  <si>
    <t>Ennistymon Choral Society</t>
  </si>
  <si>
    <t>Glenamaddy Musical Society</t>
  </si>
  <si>
    <t>Kilrush Choral Society</t>
  </si>
  <si>
    <t>Newry Youth Performing Arts</t>
  </si>
  <si>
    <t>Sligo Fun Company</t>
  </si>
  <si>
    <t>Striking Productions</t>
  </si>
  <si>
    <t>Banbridge Musical Society</t>
  </si>
  <si>
    <t>Studio 55 Dance Academy</t>
  </si>
  <si>
    <t>Category</t>
  </si>
  <si>
    <t>Venue</t>
  </si>
  <si>
    <t>Adjudicator Date</t>
  </si>
  <si>
    <t>Web Review Status</t>
  </si>
  <si>
    <t>9 Arch Musical Society</t>
  </si>
  <si>
    <t>Town Hall Theatre, Galway</t>
  </si>
  <si>
    <t>direct link</t>
  </si>
  <si>
    <t>South-West</t>
  </si>
  <si>
    <t>Aghada</t>
  </si>
  <si>
    <t>Aileen McMurtry</t>
  </si>
  <si>
    <t>Athlone</t>
  </si>
  <si>
    <t>Alfie Kilduff</t>
  </si>
  <si>
    <t>South-East</t>
  </si>
  <si>
    <t>Little Mermaid</t>
  </si>
  <si>
    <t>St. Mary's College, Arklow</t>
  </si>
  <si>
    <t>Naoimh Penston</t>
  </si>
  <si>
    <t>Baldoyle</t>
  </si>
  <si>
    <t>Yvette Cuffe Keena</t>
  </si>
  <si>
    <t>Sinead McCrohan</t>
  </si>
  <si>
    <t>Gay Kirwan</t>
  </si>
  <si>
    <t>Phantom of the Opera</t>
  </si>
  <si>
    <t>Ballinrobe</t>
  </si>
  <si>
    <t>Finola Higgins</t>
  </si>
  <si>
    <t>Ballinsaloe</t>
  </si>
  <si>
    <t>Down</t>
  </si>
  <si>
    <t>Laura Fisher</t>
  </si>
  <si>
    <t>Sharon Logan</t>
  </si>
  <si>
    <t>Oklahoma</t>
  </si>
  <si>
    <t>Market Place Armagh</t>
  </si>
  <si>
    <t>Anthony Fitzpatrick</t>
  </si>
  <si>
    <t>Aveen Stewart</t>
  </si>
  <si>
    <t>Dennis McKeever</t>
  </si>
  <si>
    <t>Bellvue Academy of Performing Arts</t>
  </si>
  <si>
    <t>Les Miserables</t>
  </si>
  <si>
    <t>Tipperary</t>
  </si>
  <si>
    <t>Claire O’Hara</t>
  </si>
  <si>
    <t>Birr</t>
  </si>
  <si>
    <t>Paul Norton</t>
  </si>
  <si>
    <t>Lisa Hogan</t>
  </si>
  <si>
    <t>Everyone's Talking about Jamie - Teen</t>
  </si>
  <si>
    <t>Newry</t>
  </si>
  <si>
    <t>Corinna McCaughey</t>
  </si>
  <si>
    <t>Anne Marie Morgan</t>
  </si>
  <si>
    <t>Hunchback of Notre Dame</t>
  </si>
  <si>
    <t>Roscommon</t>
  </si>
  <si>
    <t>Vivienne Moran</t>
  </si>
  <si>
    <t>Pat McElwain</t>
  </si>
  <si>
    <t>Bray</t>
  </si>
  <si>
    <t>Yvonne Prendergast</t>
  </si>
  <si>
    <t>Carnew</t>
  </si>
  <si>
    <t>Carrick-on-Suir</t>
  </si>
  <si>
    <t>The Strand Theatre, Carrick-on-Suir</t>
  </si>
  <si>
    <t>Keithe Greene</t>
  </si>
  <si>
    <t>Eamonn O'Malley</t>
  </si>
  <si>
    <t>Castelbar</t>
  </si>
  <si>
    <t>Castlerea</t>
  </si>
  <si>
    <t>The Hub, Castlerea</t>
  </si>
  <si>
    <t>Limerick</t>
  </si>
  <si>
    <t>Barbara Meany</t>
  </si>
  <si>
    <t>The Abbey, Clane</t>
  </si>
  <si>
    <t>Grace McGrath</t>
  </si>
  <si>
    <t>Gráinne Úi Lúing</t>
  </si>
  <si>
    <t>Ruth Maher</t>
  </si>
  <si>
    <t>Town Hall Theatre, Claremorris</t>
  </si>
  <si>
    <t>Seussical! The Musical</t>
  </si>
  <si>
    <t>Draoícht Blanchardstown</t>
  </si>
  <si>
    <t>Nicole McDonald</t>
  </si>
  <si>
    <t>Caitriona Ní Threasaigh</t>
  </si>
  <si>
    <t>CRAIC</t>
  </si>
  <si>
    <t>Belfast</t>
  </si>
  <si>
    <t>Sean O'Neill</t>
  </si>
  <si>
    <t>Roisín Corr</t>
  </si>
  <si>
    <t>St. Pat's DCU</t>
  </si>
  <si>
    <t>Amy McLoughlin</t>
  </si>
  <si>
    <t>Abbie Nolan</t>
  </si>
  <si>
    <t>Georgia Goodall</t>
  </si>
  <si>
    <t>DHMDS</t>
  </si>
  <si>
    <t>Beautiful : Carole King</t>
  </si>
  <si>
    <t>Garter Lane, Waterford</t>
  </si>
  <si>
    <t>Michelle Condon</t>
  </si>
  <si>
    <t>DMDS</t>
  </si>
  <si>
    <t>Pavillion Theatre</t>
  </si>
  <si>
    <t>Dunboyne</t>
  </si>
  <si>
    <t>Dundalk</t>
  </si>
  <si>
    <t>Ronan Dennedy</t>
  </si>
  <si>
    <t>Encore PPA (Strabane)</t>
  </si>
  <si>
    <t>The Nativity</t>
  </si>
  <si>
    <t>Strabane</t>
  </si>
  <si>
    <t>Rebecca Thompson / Caroline Barker</t>
  </si>
  <si>
    <t>Gerard Bradley</t>
  </si>
  <si>
    <t>Oliver!</t>
  </si>
  <si>
    <t>Rebecca Thompson</t>
  </si>
  <si>
    <t>Ennis</t>
  </si>
  <si>
    <t>Laura Kane Allis</t>
  </si>
  <si>
    <t>Happy Days</t>
  </si>
  <si>
    <t>Wexford</t>
  </si>
  <si>
    <t>Imelda McDonagh</t>
  </si>
  <si>
    <t>James Dobbs</t>
  </si>
  <si>
    <t>Fermanagh</t>
  </si>
  <si>
    <t>Ryan Moohan</t>
  </si>
  <si>
    <t>Shauneen Hamilton &amp; Áine Leonard</t>
  </si>
  <si>
    <t>Moya Sweeney</t>
  </si>
  <si>
    <t>Sound of Music</t>
  </si>
  <si>
    <t>Fortwilliam</t>
  </si>
  <si>
    <t>Chreyl O'Dwyer</t>
  </si>
  <si>
    <t>Maire Campbell</t>
  </si>
  <si>
    <t>Ciara Bowman</t>
  </si>
  <si>
    <t>Esker Arts Centre, Tullamore</t>
  </si>
  <si>
    <t>Rathmines</t>
  </si>
  <si>
    <t>not adjudicated</t>
  </si>
  <si>
    <t>Gearóid Grant</t>
  </si>
  <si>
    <t>John Roe</t>
  </si>
  <si>
    <t>Glencullen Dundrum</t>
  </si>
  <si>
    <t>The Mill, Dundrum</t>
  </si>
  <si>
    <t>Seán MacMathúna</t>
  </si>
  <si>
    <t xml:space="preserve">Michael Collins </t>
  </si>
  <si>
    <t>Gorey Little Theatre</t>
  </si>
  <si>
    <t>Stephen Acton</t>
  </si>
  <si>
    <t>Megan McEvoy</t>
  </si>
  <si>
    <t>American Idiot!</t>
  </si>
  <si>
    <t>Galway</t>
  </si>
  <si>
    <t>Aisling Fox</t>
  </si>
  <si>
    <t>Jodie Finn</t>
  </si>
  <si>
    <t>Robert Cosgrove</t>
  </si>
  <si>
    <t>Civic Theatre, Tallaght</t>
  </si>
  <si>
    <t>Ciarán Mooney</t>
  </si>
  <si>
    <t>Erica Delaney</t>
  </si>
  <si>
    <t>JCP</t>
  </si>
  <si>
    <t>Theatre Royal, Waterford</t>
  </si>
  <si>
    <t>Emma Walsh</t>
  </si>
  <si>
    <t>Nunsense</t>
  </si>
  <si>
    <t>Kilcock</t>
  </si>
  <si>
    <t>Deirdre Browne</t>
  </si>
  <si>
    <t>Kilkenny</t>
  </si>
  <si>
    <t>Simon Manahan</t>
  </si>
  <si>
    <t>Roisín Currid</t>
  </si>
  <si>
    <t>Killarney</t>
  </si>
  <si>
    <t>Paul Fay</t>
  </si>
  <si>
    <t>Rachel Sheehan</t>
  </si>
  <si>
    <t>Kevin O'Sullivan</t>
  </si>
  <si>
    <t>KIMS</t>
  </si>
  <si>
    <t>Inchicore College of Further Education</t>
  </si>
  <si>
    <t>Siobhán Ryan</t>
  </si>
  <si>
    <t>Leixlip GAA</t>
  </si>
  <si>
    <t>Donegal</t>
  </si>
  <si>
    <t>Tina Higgins / Maire McGinley</t>
  </si>
  <si>
    <t>Denise Roper</t>
  </si>
  <si>
    <t>Letterkenny</t>
  </si>
  <si>
    <t>Emmet Stewart</t>
  </si>
  <si>
    <t>Mairead Mckenna</t>
  </si>
  <si>
    <t>Keith Pyper</t>
  </si>
  <si>
    <t>Londonderry</t>
  </si>
  <si>
    <t>Michael Poole</t>
  </si>
  <si>
    <t>Vanessa Chapman</t>
  </si>
  <si>
    <t>Tralee</t>
  </si>
  <si>
    <t>Cry Baby</t>
  </si>
  <si>
    <t>Dublin</t>
  </si>
  <si>
    <t>Jules McNamra</t>
  </si>
  <si>
    <t>St Jarlath's College, Tuam</t>
  </si>
  <si>
    <t>Into the Woods</t>
  </si>
  <si>
    <t>Séamus Clerkin/ Brona McGlinchey</t>
  </si>
  <si>
    <t>Holly McNulty</t>
  </si>
  <si>
    <t>Mitchelstown</t>
  </si>
  <si>
    <t>Michael-Anthony Greene</t>
  </si>
  <si>
    <t>Cats</t>
  </si>
  <si>
    <t>Meath</t>
  </si>
  <si>
    <t>Gavin Murphy (Asst. Amy Mulreid)</t>
  </si>
  <si>
    <t>Moya Ferguson</t>
  </si>
  <si>
    <t xml:space="preserve">Karla Lacey </t>
  </si>
  <si>
    <t>Clare</t>
  </si>
  <si>
    <t>Glenamaddy</t>
  </si>
  <si>
    <t>Kilrush</t>
  </si>
  <si>
    <t>Moat Theatre</t>
  </si>
  <si>
    <t>Monaghan</t>
  </si>
  <si>
    <t>Stephanie Browne</t>
  </si>
  <si>
    <t>Mary Rose McNally</t>
  </si>
  <si>
    <t>Newbridge</t>
  </si>
  <si>
    <t>Aine Foley</t>
  </si>
  <si>
    <t>Antrim</t>
  </si>
  <si>
    <t>Clare Donnelly</t>
  </si>
  <si>
    <t>Mary Tilley</t>
  </si>
  <si>
    <t>Newcastle</t>
  </si>
  <si>
    <t>Newry Musical Society</t>
  </si>
  <si>
    <t>David Cunningham</t>
  </si>
  <si>
    <t>Lisa Irvine</t>
  </si>
  <si>
    <t>Fiona Flynn</t>
  </si>
  <si>
    <t>Jordan Walsh</t>
  </si>
  <si>
    <t>Paul Burns</t>
  </si>
  <si>
    <t>Matthew Milford</t>
  </si>
  <si>
    <t>North Wexford</t>
  </si>
  <si>
    <t>NRMS</t>
  </si>
  <si>
    <t>St. Michael's Theatre, New Ross</t>
  </si>
  <si>
    <t>National Opera House, Wexford</t>
  </si>
  <si>
    <t>Portlaoise</t>
  </si>
  <si>
    <t>Charlie McCready</t>
  </si>
  <si>
    <t>Amy Smith</t>
  </si>
  <si>
    <t>Pirates of Penzance</t>
  </si>
  <si>
    <t>Rush</t>
  </si>
  <si>
    <t>Shannon</t>
  </si>
  <si>
    <t>Karen Barrett</t>
  </si>
  <si>
    <t>Sligo</t>
  </si>
  <si>
    <t>Mary McDonagh</t>
  </si>
  <si>
    <t>Singin' In the Rain</t>
  </si>
  <si>
    <t>Melody Urquhart / Thomas Spratt</t>
  </si>
  <si>
    <t>Clonmel</t>
  </si>
  <si>
    <t>Navan</t>
  </si>
  <si>
    <t>Longford</t>
  </si>
  <si>
    <t>Niamh O’Brien</t>
  </si>
  <si>
    <t>Vince Tully</t>
  </si>
  <si>
    <t>Simon Pyper</t>
  </si>
  <si>
    <t>Nik Parks</t>
  </si>
  <si>
    <t>Teresa Dunne</t>
  </si>
  <si>
    <t xml:space="preserve">Little Mermaid </t>
  </si>
  <si>
    <t>Rathwood Big Top</t>
  </si>
  <si>
    <t>Robert O'Neill</t>
  </si>
  <si>
    <t>Tracy Rea</t>
  </si>
  <si>
    <t>Joan Butler</t>
  </si>
  <si>
    <t>Elf</t>
  </si>
  <si>
    <t>Arklow</t>
  </si>
  <si>
    <t>Amy Penston</t>
  </si>
  <si>
    <t>Ciarán Mooney &amp; Nicole McDonald</t>
  </si>
  <si>
    <t>Once</t>
  </si>
  <si>
    <t>Thurles</t>
  </si>
  <si>
    <t>Big Fish</t>
  </si>
  <si>
    <t>Premier Hall</t>
  </si>
  <si>
    <t>Justin Walsh</t>
  </si>
  <si>
    <t>Makena Margolin</t>
  </si>
  <si>
    <t>Erica O’Reilly</t>
  </si>
  <si>
    <t>Tullyvin</t>
  </si>
  <si>
    <t>Julianne McNamara</t>
  </si>
  <si>
    <t>Cork</t>
  </si>
  <si>
    <t>Daniel Cremin / Rosie O’Byrne</t>
  </si>
  <si>
    <t>Chloe Leahy</t>
  </si>
  <si>
    <t>Lucia Schmetterer</t>
  </si>
  <si>
    <t>Bare</t>
  </si>
  <si>
    <t>Astra Hall</t>
  </si>
  <si>
    <t>Sorcha McGlynn</t>
  </si>
  <si>
    <t>Brianna Kelly</t>
  </si>
  <si>
    <t>Luke Shiels</t>
  </si>
  <si>
    <t>Footloose</t>
  </si>
  <si>
    <t>Becca Lennon</t>
  </si>
  <si>
    <t>Maya Gaul</t>
  </si>
  <si>
    <t>Edie Weinstein</t>
  </si>
  <si>
    <t>Gypsy</t>
  </si>
  <si>
    <t>Aoife Joy Keogh</t>
  </si>
  <si>
    <t>Megan O'Neill</t>
  </si>
  <si>
    <t>Dermot Edmondson</t>
  </si>
  <si>
    <t xml:space="preserve">The 25th Annual Putnam County Spelling Bee
</t>
  </si>
  <si>
    <t>Alison Kearney</t>
  </si>
  <si>
    <t>Liam Butler</t>
  </si>
  <si>
    <t>Thérése O’Sullivan</t>
  </si>
  <si>
    <t>Section</t>
  </si>
  <si>
    <t>Soc</t>
  </si>
  <si>
    <t>Teachers</t>
  </si>
  <si>
    <t>HXT</t>
  </si>
  <si>
    <t>Gorey</t>
  </si>
  <si>
    <t>Tullamore</t>
  </si>
  <si>
    <t>Coolmine</t>
  </si>
  <si>
    <t>Enniscorthy</t>
  </si>
  <si>
    <t>Claremorris</t>
  </si>
  <si>
    <t>Category (24/25)</t>
  </si>
  <si>
    <t>Adjudication Date</t>
  </si>
  <si>
    <t xml:space="preserve">Theatre Royal, Waterford </t>
  </si>
  <si>
    <t>Cry-Baby</t>
  </si>
  <si>
    <t>Denise Donohue</t>
  </si>
  <si>
    <t>Temperance Hall, Loughrea</t>
  </si>
  <si>
    <t>Charlie &amp; The Chocolate Factory</t>
  </si>
  <si>
    <t>Sharon Logan / Laura Fisher</t>
  </si>
  <si>
    <t>Jordan Walsh-Rhodes</t>
  </si>
  <si>
    <t>Brian Greene</t>
  </si>
  <si>
    <t>Les Miserables: Let the People Sing</t>
  </si>
  <si>
    <t>The Singing River (Original)</t>
  </si>
  <si>
    <t>Frozen Jr.</t>
  </si>
  <si>
    <t>Victoria Walker</t>
  </si>
  <si>
    <t>The Addams family</t>
  </si>
  <si>
    <t>Fergus Carroll</t>
  </si>
  <si>
    <r>
      <rPr>
        <strike/>
        <sz val="12"/>
        <color rgb="FF000000"/>
        <rFont val="Calibri"/>
      </rPr>
      <t xml:space="preserve">Oklahoma </t>
    </r>
    <r>
      <rPr>
        <sz val="12"/>
        <color rgb="FF000000"/>
        <rFont val="Calibri"/>
      </rPr>
      <t>Annie</t>
    </r>
  </si>
  <si>
    <t>Jennifer O’Brien</t>
  </si>
  <si>
    <t>Gráinne Uí Luing</t>
  </si>
  <si>
    <t>Dylan O'Keefe</t>
  </si>
  <si>
    <t>E.J. Reilly</t>
  </si>
  <si>
    <t>Hawk's Well Theatre, Sligo</t>
  </si>
  <si>
    <t>St Michael's Theatre, New Ross</t>
  </si>
  <si>
    <t>Dunmore Musical Society</t>
  </si>
  <si>
    <t xml:space="preserve">The Sound of Music </t>
  </si>
  <si>
    <t>Joan MacDonnell</t>
  </si>
  <si>
    <t>Eoghan Connolly</t>
  </si>
  <si>
    <t>Sarah Kenny</t>
  </si>
  <si>
    <t>Laura Jane Allas</t>
  </si>
  <si>
    <t>National Opera House</t>
  </si>
  <si>
    <t>Joseph and his Amazing Technicolor Dreamcoat</t>
  </si>
  <si>
    <t>Roisín Heenan</t>
  </si>
  <si>
    <t>Riverbank Theatre</t>
  </si>
  <si>
    <t>Rent</t>
  </si>
  <si>
    <t>Sam McElgunn</t>
  </si>
  <si>
    <t>Chloe Martin / Cara Murphy</t>
  </si>
  <si>
    <t>Killian Collins</t>
  </si>
  <si>
    <t>Ronan Holohan</t>
  </si>
  <si>
    <t>Paul Nippy Norton</t>
  </si>
  <si>
    <t>Nigel Cassidy</t>
  </si>
  <si>
    <t>Mary Jo Fitzpatrick</t>
  </si>
  <si>
    <t>Niamh O' Flanagan</t>
  </si>
  <si>
    <t>Damien Hurley</t>
  </si>
  <si>
    <t xml:space="preserve">Kate O’Dowd </t>
  </si>
  <si>
    <t>Sarah O’Dowd and Eoin Nicklin</t>
  </si>
  <si>
    <t>Lorna Collins</t>
  </si>
  <si>
    <t>Crazy For You</t>
  </si>
  <si>
    <t>Priscilla Queen of the Desert</t>
  </si>
  <si>
    <t>Ballinrobe Community School</t>
  </si>
  <si>
    <t>Tom McCarthy</t>
  </si>
  <si>
    <t>Emert Hartnett</t>
  </si>
  <si>
    <t>Imelda Winters</t>
  </si>
  <si>
    <t>Stephen Ó Riaín</t>
  </si>
  <si>
    <t>Stephen Halion</t>
  </si>
  <si>
    <t>Rachel Sheahan</t>
  </si>
  <si>
    <t>Claire Tighe / Jennifer Dawson</t>
  </si>
  <si>
    <t>Tina Higgins and Maire McGinley</t>
  </si>
  <si>
    <t>Grainne O’Carroll</t>
  </si>
  <si>
    <t>Anna Connolly</t>
  </si>
  <si>
    <t>White Memorial Theatre, Clonmel</t>
  </si>
  <si>
    <t>Amanda Pierce</t>
  </si>
  <si>
    <t>Jules McNamara</t>
  </si>
  <si>
    <t>Melissa Flaherty</t>
  </si>
  <si>
    <t>Grace Bourke</t>
  </si>
  <si>
    <t>Aileen Coffey</t>
  </si>
  <si>
    <t>Rocky Horror Picture Show</t>
  </si>
  <si>
    <t xml:space="preserve">Shane Dornan </t>
  </si>
  <si>
    <t>Louise Gilmore</t>
  </si>
  <si>
    <t>Mark Lehane</t>
  </si>
  <si>
    <t>Forever Plaid</t>
  </si>
  <si>
    <t>Shannon Hegarty</t>
  </si>
  <si>
    <t>Gary Loughnane</t>
  </si>
  <si>
    <t>Shakespeare in Love</t>
  </si>
  <si>
    <t>Brian Gilligan</t>
  </si>
  <si>
    <t>Gavin Quigley (Movement)</t>
  </si>
  <si>
    <t>Millbank Theatre, Rush</t>
  </si>
  <si>
    <r>
      <t xml:space="preserve">The Witches of Eastwick </t>
    </r>
    <r>
      <rPr>
        <strike/>
        <sz val="12"/>
        <color rgb="FF000000"/>
        <rFont val="Calibri"/>
      </rPr>
      <t>Footloose</t>
    </r>
    <r>
      <rPr>
        <sz val="12"/>
        <color rgb="FF000000"/>
        <rFont val="Calibri"/>
      </rPr>
      <t xml:space="preserve"> </t>
    </r>
  </si>
  <si>
    <t>Calendar Girls 2.0</t>
  </si>
  <si>
    <t>Strand Theatre</t>
  </si>
  <si>
    <t>-</t>
  </si>
  <si>
    <t>Review Schedule</t>
  </si>
  <si>
    <t>Thomas O' Leary</t>
  </si>
  <si>
    <t>Solstice Arts Centre</t>
  </si>
  <si>
    <t>Mill theatre</t>
  </si>
  <si>
    <t>Everyone's Talking about Jamie</t>
  </si>
  <si>
    <t>Wyatt Brower</t>
  </si>
  <si>
    <t>Russell Unsworth</t>
  </si>
  <si>
    <t>Watergate Theatre, Kilkenny</t>
  </si>
  <si>
    <t>Annie The Musical</t>
  </si>
  <si>
    <t>Garter Lane</t>
  </si>
  <si>
    <t>Amy Blackshow</t>
  </si>
  <si>
    <t>Dr. Dylan Browne</t>
  </si>
  <si>
    <t>St. Mary's Arklow</t>
  </si>
  <si>
    <t>Peter Kennedy</t>
  </si>
  <si>
    <t>Fintan Farrelly</t>
  </si>
  <si>
    <t>Dylan O'Keeffe</t>
  </si>
  <si>
    <t>Alexx MacFarlane</t>
  </si>
  <si>
    <t>Sunday in the Park with George</t>
  </si>
  <si>
    <t>Cian O Dowd</t>
  </si>
  <si>
    <t>Hot Mikado</t>
  </si>
  <si>
    <t>Town Hall Theatre</t>
  </si>
  <si>
    <t>Conor Lawler</t>
  </si>
  <si>
    <t>Philip Walshe</t>
  </si>
  <si>
    <t>Muireann Carey</t>
  </si>
  <si>
    <t>Erica O'Reilly</t>
  </si>
  <si>
    <t>Megan Foley</t>
  </si>
  <si>
    <t>Grace Skowronski'</t>
  </si>
  <si>
    <t>Paul Laycock</t>
  </si>
  <si>
    <t>Sam Anderson</t>
  </si>
  <si>
    <t>Michael Healey</t>
  </si>
  <si>
    <t>Lia Mullan</t>
  </si>
  <si>
    <t>Sam Hoffheinz</t>
  </si>
  <si>
    <t>Sinéad Gormally</t>
  </si>
  <si>
    <t xml:space="preserve">Mafalda Zúquete </t>
  </si>
  <si>
    <t>Cara McCrystal</t>
  </si>
  <si>
    <t>Seán Sheehy</t>
  </si>
  <si>
    <t>Emma Rogerson</t>
  </si>
  <si>
    <t>Seussical</t>
  </si>
  <si>
    <t>Sean McInerney</t>
  </si>
  <si>
    <t>Eamon O Malley / Jared Nadin</t>
  </si>
  <si>
    <t>AIMS Member Societies – Master List</t>
  </si>
  <si>
    <t>ID</t>
  </si>
  <si>
    <t>23/24</t>
  </si>
  <si>
    <t>24/25</t>
  </si>
  <si>
    <t>25/26</t>
  </si>
  <si>
    <t>26/27</t>
  </si>
  <si>
    <t>27/28</t>
  </si>
  <si>
    <t>Seasons active</t>
  </si>
  <si>
    <t>Achill Musical &amp; Dramatic Society</t>
  </si>
  <si>
    <t>Creative Minds Productions</t>
  </si>
  <si>
    <t>DCU drama</t>
  </si>
  <si>
    <t>R&amp;R MS</t>
  </si>
  <si>
    <t>Society (official AIMS name)</t>
  </si>
  <si>
    <t>Section as of</t>
  </si>
  <si>
    <t>Section history</t>
  </si>
  <si>
    <t>Name(s) used in season tabs</t>
  </si>
  <si>
    <t>Notes</t>
  </si>
  <si>
    <t>23/24: Sullivan · 24/25: Gilbert · 25/26: Gilbert · 26/27: Gilbert · 27/28: Gilbert</t>
  </si>
  <si>
    <t>23/24: Sullivan · 24/25: Sullivan · 25/26: Gilbert · 26/27: Gilbert · 27/28: Sullivan</t>
  </si>
  <si>
    <t>Athlone Musical Society</t>
  </si>
  <si>
    <t>Avonmore Musical Society</t>
  </si>
  <si>
    <t>23/24: Gilbert · 24/25: Gilbert · 25/26: Sullivan · 26/27: Gilbert · 27/28: Gilbert</t>
  </si>
  <si>
    <t>Ballinasloe Musical Society</t>
  </si>
  <si>
    <t>23/24: Gilbert · 24/25: Sullivan · 25/26: Sullivan · 26/27: Sullivan · 27/28: Sullivan</t>
  </si>
  <si>
    <t>Bosco Drama Group</t>
  </si>
  <si>
    <t>Carnew Musical Society</t>
  </si>
  <si>
    <t>Cecilian Musical Society, Limerick</t>
  </si>
  <si>
    <t>Clane Musical &amp; Dramatic Society</t>
  </si>
  <si>
    <t>23/24: Sullivan · 24/25: Sullivan · 25/26: Gilbert · 26/27: Sullivan · 27/28: Sullivan</t>
  </si>
  <si>
    <t>Coolmine Musical Society</t>
  </si>
  <si>
    <t>Craic Theatre</t>
  </si>
  <si>
    <t>DCG Project, The</t>
  </si>
  <si>
    <t>DCU Drama Society</t>
  </si>
  <si>
    <t>Dun Laoghaire Musical &amp; Dramatic Society</t>
  </si>
  <si>
    <t>23/24: Sullivan · 24/25: Sullivan · 25/26: Gilbert · 26/27: Gilbert · 27/28: Gilbert</t>
  </si>
  <si>
    <t>Dunboyne Musical Society</t>
  </si>
  <si>
    <t>23/24: Gilbert · 24/25: Gilbert · 25/26: Sullivan · 26/27: Sullivan · 27/28: Gilbert</t>
  </si>
  <si>
    <t>Encore Performing Arts Academy</t>
  </si>
  <si>
    <t>Entr'acte Musical Theatre Society</t>
  </si>
  <si>
    <t>Galway University Musical Society</t>
  </si>
  <si>
    <t>Glencullen Dundrum MDS</t>
  </si>
  <si>
    <t>Harolds Cross Tallaght Musical Society</t>
  </si>
  <si>
    <t>23/24: Gilbert · 24/25: Gilbert · 25/26: Sullivan · 26/27: Sullivan · 27/28: Sullivan</t>
  </si>
  <si>
    <t>Kilcock Musical &amp; Dramatic Society</t>
  </si>
  <si>
    <t>Kilmainham Inchicore Musical Society</t>
  </si>
  <si>
    <t>Leixlip Musical &amp; Variety Group</t>
  </si>
  <si>
    <t>Letterkenny Music &amp; Drama Group</t>
  </si>
  <si>
    <t>Light Opera Society of Tralee (LOST)</t>
  </si>
  <si>
    <t>Lisnagarvey Operatic and Dramatic Society</t>
  </si>
  <si>
    <t>23/24: Sullivan · 24/25: Sullivan · 25/26: Gilbert</t>
  </si>
  <si>
    <t>Marian Choral Society, Tuam</t>
  </si>
  <si>
    <t>Mary I Dramatic Arts Society</t>
  </si>
  <si>
    <t>Maynooth University Musical and Dramatics Society</t>
  </si>
  <si>
    <t>Nenagh Choral Society Ltd</t>
  </si>
  <si>
    <t>Newbridge Musical Society</t>
  </si>
  <si>
    <t>Newcastle Glees Musical Society</t>
  </si>
  <si>
    <t>Newcastlewest Musical Society</t>
  </si>
  <si>
    <t>North East Musical and Dramatic Society</t>
  </si>
  <si>
    <t>23/24: Sullivan · 24/25: Gilbert · 25/26: Gilbert · 26/27: Sullivan · 27/28: Sullivan</t>
  </si>
  <si>
    <t>Pop-Up Theatre, Sligo</t>
  </si>
  <si>
    <t>24/25: Sullivan · 25/26: Gilbert · 26/27: Sullivan · 27/28: Sullivan</t>
  </si>
  <si>
    <t>Portlaoise Musical Society</t>
  </si>
  <si>
    <t>Quayplayers Musical &amp; Dramatic Society</t>
  </si>
  <si>
    <t>Rathmines &amp; Rathgar Musical Society</t>
  </si>
  <si>
    <t>Shannon Musical Society</t>
  </si>
  <si>
    <t>St. Brendan's Choral and Dramatic Society</t>
  </si>
  <si>
    <t>St. Mary's Choral Society, Clonmel</t>
  </si>
  <si>
    <t>St. Marys Musical Society, Navan</t>
  </si>
  <si>
    <t>St. Mel's Musical Society, Longford</t>
  </si>
  <si>
    <t>St. Patrick's Choral Society, Downpatrick</t>
  </si>
  <si>
    <t>Stage One New-Musical Group (S.O.N.G.)</t>
  </si>
  <si>
    <t>Striking Productions Carlow</t>
  </si>
  <si>
    <t>Teachers' Musical Society</t>
  </si>
  <si>
    <t>Trinity Musical Theatre Society</t>
  </si>
  <si>
    <t>Tullyvin Musical Society</t>
  </si>
  <si>
    <t>UCD Musical Society</t>
  </si>
  <si>
    <t>23/24: Gilbert · 24/25: Sullivan · 25/26: Gilbert · 26/27: Sullivan · 27/28: Sullivan</t>
  </si>
  <si>
    <t>University of Limerick Musical Theatre Society</t>
  </si>
  <si>
    <t>Waterford Musical Society</t>
  </si>
  <si>
    <t>23/24: Gilbert · 25/26: Sullivan · 26/27: Sullivan · 27/28: Gilbert</t>
  </si>
  <si>
    <t>Wexford Light Opera Society</t>
  </si>
  <si>
    <t>9 Arch Musical Society; 9Arch MS</t>
  </si>
  <si>
    <t>Not on AIMS register</t>
  </si>
  <si>
    <t>Baldoyle MS; Baldoyle Musical Society</t>
  </si>
  <si>
    <t>Ballinsaloe MS; Ballinsaloe Musical Society</t>
  </si>
  <si>
    <t>Ballinrobe MS; Ballinrobe Musical Society</t>
  </si>
  <si>
    <t>Belfast Operatic; Belfast Operatic Company</t>
  </si>
  <si>
    <t>Bellvue Academy; Bellvue Academy of Performing Arts; Bellvue Youth Academy</t>
  </si>
  <si>
    <t>Boyle MS; Boyle Musical Society</t>
  </si>
  <si>
    <t>Bravo; Bravo Theatre Group</t>
  </si>
  <si>
    <t>Bray MS; Bray Musical Society</t>
  </si>
  <si>
    <t>Carrick-on-Suir; Carrick-on-Suir Musical Society</t>
  </si>
  <si>
    <t>Castlerea; Castlerea Musical Society</t>
  </si>
  <si>
    <t>Clane MS; Clane Musical Society</t>
  </si>
  <si>
    <t>Claremorris MS; Claremorris Musical Society</t>
  </si>
  <si>
    <t>DMDS; Dun Laoghaire MDS Musical Society</t>
  </si>
  <si>
    <t>Not on AIMS register; region assigned geographically – please confirm</t>
  </si>
  <si>
    <t>Fortwilliam MS; Fortwilliam Musical Society</t>
  </si>
  <si>
    <t>Gorey; Gorey MS; Gorey Musical Society</t>
  </si>
  <si>
    <t>JCP; Jack Cunningham Productions</t>
  </si>
  <si>
    <t>KIMS; Kilmainham Inchicore MS (KIMS)</t>
  </si>
  <si>
    <t>LOST; Light Opera Society Tralee</t>
  </si>
  <si>
    <t>Lisnagarvey; Lisnagarvey Operatic &amp; Dramatic Society</t>
  </si>
  <si>
    <t>Londonderry MS; Londonderry Musical Society</t>
  </si>
  <si>
    <t>MCS; Marian Choral Society</t>
  </si>
  <si>
    <t>Naas; Naas Musical Society</t>
  </si>
  <si>
    <t>NRMS; New Ross Musical Society</t>
  </si>
  <si>
    <t>Newcastle Glees; Newcastle Glees MS</t>
  </si>
  <si>
    <t>Newcastle West MS; Newcastle West Musical Society</t>
  </si>
  <si>
    <t>Newry Youth MS; Newry Youth Performing Arts</t>
  </si>
  <si>
    <t>NWMT; North Wexford; North Wexford Musical Theatre</t>
  </si>
  <si>
    <t>DHMDS; Quayplayers Musical Dramatic Society</t>
  </si>
  <si>
    <t>Formerly David Hennessy Musical &amp; Dramatic Society (DHMDS) – rebranded</t>
  </si>
  <si>
    <t>Queen's Musical Theatre Society; Queens Musical Theatre Society</t>
  </si>
  <si>
    <t>Rush MS; Rush Musical Society</t>
  </si>
  <si>
    <t>Listed on the AIMS register as "SGPA" only</t>
  </si>
  <si>
    <t>St Agnes Choral Society; St. Agnes Choral Society</t>
  </si>
  <si>
    <t>St Mary's Clonmel; St. Mary's Choral Clonmel</t>
  </si>
  <si>
    <t>St Marys MS Navan; St. Marys MS Navan</t>
  </si>
  <si>
    <t>St Mels Musical Society; St. Mels Longford; St. Mels Musical Society</t>
  </si>
  <si>
    <t>SMTMS; St. Michael's Theatre Musical Society</t>
  </si>
  <si>
    <t>SONG; SONG Dundalk; Stage One MG (SONG)</t>
  </si>
  <si>
    <t>AIMS register lists this as "Studio 55 Productions"</t>
  </si>
  <si>
    <t>Tipperary MS; Tipperary Musical Society</t>
  </si>
  <si>
    <t>Tullamore MS; Tullamore Musical Society</t>
  </si>
  <si>
    <t>UCC MS; UCC Musical Theatre Society</t>
  </si>
  <si>
    <t>UCD; UCD MS</t>
  </si>
  <si>
    <t>UL; UL Musical Theatre Society</t>
  </si>
  <si>
    <t>Enniscorthy MS; Enniscorthy Musical Society</t>
  </si>
  <si>
    <t>Galway MS; Galway Musical Society</t>
  </si>
  <si>
    <t>Glencullen Dundrum; Glencullen Dundrum Musical Society</t>
  </si>
  <si>
    <t>Kilcock MS; Kilcock Musical Society</t>
  </si>
  <si>
    <t>Kilkenny MS; Kilkenny Musical Society</t>
  </si>
  <si>
    <t>Kilmacud MS; Kilmacud Musical Society</t>
  </si>
  <si>
    <t>Limerick MS; Limerick Musical Society</t>
  </si>
  <si>
    <t>Malahide; Malahide Musical &amp; Dramatic Society; Malahide Musical&amp; Dramatic Society</t>
  </si>
  <si>
    <t>Newbridge MS; Newbridge Musical Theatre</t>
  </si>
  <si>
    <t>Teachers MS; Teachers Musical Society</t>
  </si>
  <si>
    <t>Thurles; Thurles Musical Society</t>
  </si>
  <si>
    <t>Trim; Trim Musical Society</t>
  </si>
  <si>
    <t>Ulster Operatic; Ulster Operatic Company</t>
  </si>
  <si>
    <t>New group – has a 26/27 tier but is not yet listed on the AIMS website register</t>
  </si>
  <si>
    <t>Abú! Performing Arts</t>
  </si>
  <si>
    <t>Arklow Panto Creations</t>
  </si>
  <si>
    <t>Athenry Youth Musical Theatre</t>
  </si>
  <si>
    <t>Ballinasloe Panto Company</t>
  </si>
  <si>
    <t>Bardic Theatre</t>
  </si>
  <si>
    <t>Castlebar Pantomime</t>
  </si>
  <si>
    <t>Cecilian Theatre Arts</t>
  </si>
  <si>
    <t>Cork City Musical Society</t>
  </si>
  <si>
    <t>Currid School of Performing Arts</t>
  </si>
  <si>
    <t>Donegal Youth Musical Theatre</t>
  </si>
  <si>
    <t>Dunshaughlin Musical Society</t>
  </si>
  <si>
    <t>Enniskillen Light Operatic Society</t>
  </si>
  <si>
    <t>Glasnevin Musical Society</t>
  </si>
  <si>
    <t>Glenties Drama Group</t>
  </si>
  <si>
    <t>Golden Apple Players, The</t>
  </si>
  <si>
    <t>Hammer and Nail Theatre Group</t>
  </si>
  <si>
    <t>Inchicore Variety Group</t>
  </si>
  <si>
    <t>Inish Theatre Group</t>
  </si>
  <si>
    <t>Innovations Theatre School</t>
  </si>
  <si>
    <t>Kells Musical Society</t>
  </si>
  <si>
    <t>Kilkerrin Youth Musical</t>
  </si>
  <si>
    <t>Loughrea Musical Society</t>
  </si>
  <si>
    <t>Loving Life Choir</t>
  </si>
  <si>
    <t>MTU Musical Society</t>
  </si>
  <si>
    <t>Mallow Musical Society</t>
  </si>
  <si>
    <t>Marian College Musical Society</t>
  </si>
  <si>
    <t>Moycullen</t>
  </si>
  <si>
    <t>NOVA Theatre Group</t>
  </si>
  <si>
    <t>O'Connell Musical Society</t>
  </si>
  <si>
    <t>Pantaloons</t>
  </si>
  <si>
    <t>Phoenix Performing Arts College</t>
  </si>
  <si>
    <t>Phoenix Productions</t>
  </si>
  <si>
    <t>Pioneer Musical &amp; Dramatic Society</t>
  </si>
  <si>
    <t>Portadown Phoenix players</t>
  </si>
  <si>
    <t>Portarlington Musical Society</t>
  </si>
  <si>
    <t>Portmarnock Musical &amp; Dramatic Society</t>
  </si>
  <si>
    <t>Renmore Pantomime Society clg</t>
  </si>
  <si>
    <t>Roundwood Variety Group</t>
  </si>
  <si>
    <t>Rush Panto Society</t>
  </si>
  <si>
    <t>Sheevawn Musical Youth Theatre</t>
  </si>
  <si>
    <t>South Eastern Theatre Group</t>
  </si>
  <si>
    <t>St. Agnes' Musical Society</t>
  </si>
  <si>
    <t>St. MacNissi's Choral &amp; Dramatic Society</t>
  </si>
  <si>
    <t>St. Mary's College CSSp Musical Society</t>
  </si>
  <si>
    <t>St. Patrick's Hall Musical Society, Strabane</t>
  </si>
  <si>
    <t>Stage Door and More Ireland</t>
  </si>
  <si>
    <t>Stage Left Youth Theatre</t>
  </si>
  <si>
    <t>Studio 55 Productions</t>
  </si>
  <si>
    <t>The Little Sea Musical Society</t>
  </si>
  <si>
    <t>The Now and Then Production Company</t>
  </si>
  <si>
    <t>Tralee Musical Society Youths</t>
  </si>
  <si>
    <t>Twin Productions</t>
  </si>
  <si>
    <t>On AIMS register; no adjudicated show in 23/24–27/28 data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</si>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</sst>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 yyyy"/>
    <numFmt numFmtId="165" formatCode="d\-m"/>
    <numFmt numFmtId="166" formatCode="dd/mm/yyyy;@"/>
  </numFmts>
  <fonts count="68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0"/>
      <color rgb="FF000000"/>
      <name val="Calibri"/>
    </font>
    <font>
      <b/>
      <sz val="10"/>
      <color theme="1"/>
      <name val="Calibri"/>
    </font>
    <font>
      <sz val="10"/>
      <color theme="1"/>
      <name val="Calibri"/>
    </font>
    <font>
      <sz val="10"/>
      <color rgb="FF000000"/>
      <name val="Calibri"/>
    </font>
    <font>
      <b/>
      <sz val="11"/>
      <color theme="1"/>
      <name val="Arial"/>
      <family val="2"/>
      <scheme val="minor"/>
    </font>
    <font>
      <b/>
      <sz val="10"/>
      <name val="Arial"/>
      <family val="2"/>
      <scheme val="minor"/>
    </font>
    <font>
      <sz val="10"/>
      <name val="Arial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scheme val="minor"/>
    </font>
    <font>
      <sz val="11"/>
      <color rgb="FF000000"/>
      <name val="Aptos Display"/>
    </font>
    <font>
      <sz val="12"/>
      <color rgb="FF000000"/>
      <name val="Aptos Display"/>
    </font>
    <font>
      <sz val="12"/>
      <color theme="1"/>
      <name val="Aptos Display"/>
    </font>
    <font>
      <sz val="12"/>
      <name val="Aptos Display"/>
    </font>
    <font>
      <u/>
      <sz val="12"/>
      <color rgb="FF0000FF"/>
      <name val="Aptos Display"/>
    </font>
    <font>
      <sz val="12"/>
      <color rgb="FF000000"/>
      <name val="Aptos Display"/>
      <charset val="1"/>
    </font>
    <font>
      <u/>
      <sz val="10"/>
      <color theme="10"/>
      <name val="Arial"/>
      <scheme val="minor"/>
    </font>
    <font>
      <sz val="12"/>
      <color rgb="FF000000"/>
      <name val="Aptos Display"/>
      <family val="2"/>
    </font>
    <font>
      <b/>
      <sz val="12"/>
      <color theme="1"/>
      <name val="Arial"/>
      <family val="2"/>
      <scheme val="minor"/>
    </font>
    <font>
      <u/>
      <sz val="12"/>
      <color theme="10"/>
      <name val="Arial"/>
      <scheme val="minor"/>
    </font>
    <font>
      <sz val="12"/>
      <color rgb="FF000000"/>
      <name val="Calibri"/>
    </font>
    <font>
      <sz val="12"/>
      <color theme="1"/>
      <name val="Calibri"/>
    </font>
    <font>
      <sz val="12"/>
      <name val="Calibri"/>
    </font>
    <font>
      <strike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b/>
      <sz val="12"/>
      <color theme="1"/>
      <name val="Calibri"/>
    </font>
    <font>
      <sz val="12"/>
      <color rgb="FF006100"/>
      <name val="Calibri"/>
    </font>
    <font>
      <sz val="11"/>
      <color theme="1"/>
      <name val="Arial"/>
      <scheme val="minor"/>
    </font>
    <font>
      <sz val="11"/>
      <color rgb="FF000000"/>
      <name val="Arial"/>
      <scheme val="minor"/>
    </font>
    <font>
      <b/>
      <sz val="10"/>
      <color theme="0"/>
      <name val="Arial"/>
      <family val="2"/>
      <scheme val="minor"/>
    </font>
    <font>
      <b/>
      <sz val="10"/>
      <color theme="0"/>
      <name val="Arial"/>
      <scheme val="minor"/>
    </font>
    <font>
      <sz val="11"/>
      <name val="Arial"/>
      <family val="2"/>
      <scheme val="minor"/>
    </font>
    <font>
      <sz val="11"/>
      <name val="Calibri"/>
    </font>
    <font>
      <sz val="11"/>
      <color rgb="FF000000"/>
      <name val="Arial"/>
    </font>
    <font>
      <sz val="11"/>
      <color theme="1"/>
      <name val="Arial"/>
    </font>
    <font>
      <b/>
      <sz val="11"/>
      <color rgb="FF000000"/>
      <name val="Arial"/>
      <scheme val="minor"/>
    </font>
    <font>
      <strike/>
      <sz val="11"/>
      <color rgb="FF000000"/>
      <name val="Arial"/>
      <scheme val="minor"/>
    </font>
    <font>
      <sz val="11"/>
      <name val="Arial"/>
      <scheme val="minor"/>
    </font>
    <font>
      <strike/>
      <sz val="11"/>
      <color rgb="FF000000"/>
      <name val="Arial"/>
    </font>
    <font>
      <sz val="12"/>
      <color theme="1"/>
      <name val="Garamond"/>
    </font>
    <font>
      <sz val="12"/>
      <color rgb="FF000000"/>
      <name val="Garamond"/>
    </font>
    <font>
      <sz val="12"/>
      <name val="Garamond"/>
    </font>
    <font>
      <b/>
      <sz val="11"/>
      <color rgb="FF000000"/>
      <name val="Arial"/>
    </font>
    <font>
      <b/>
      <sz val="14"/>
      <color rgb="FF000000"/>
      <name val="Garamond"/>
    </font>
    <font>
      <b/>
      <sz val="14"/>
      <color theme="1"/>
      <name val="Garamond"/>
    </font>
    <font>
      <b/>
      <sz val="14"/>
      <name val="Garamond"/>
    </font>
    <font>
      <sz val="14"/>
      <color theme="1"/>
      <name val="Garamond"/>
    </font>
    <font>
      <sz val="14"/>
      <color rgb="FF000000"/>
      <name val="Garamond"/>
    </font>
    <font>
      <sz val="14"/>
      <name val="Garamond"/>
    </font>
    <font>
      <b/>
      <i/>
      <sz val="14"/>
      <color rgb="FF000000"/>
      <name val="Garamond"/>
    </font>
    <font>
      <b/>
      <sz val="14"/>
      <color rgb="FF000000"/>
      <name val="Calibri"/>
    </font>
    <font>
      <sz val="14"/>
      <color rgb="FF000000"/>
      <name val="Calibri"/>
    </font>
    <font>
      <sz val="14"/>
      <color theme="1"/>
      <name val="Calibri"/>
    </font>
    <font>
      <sz val="14"/>
      <color rgb="FF000000"/>
      <name val="Aptos Display"/>
    </font>
    <font>
      <sz val="14"/>
      <color rgb="FF000000"/>
      <name val="Arial"/>
      <scheme val="minor"/>
    </font>
    <font>
      <sz val="10"/>
      <color rgb="FF000000"/>
      <name val="Garamond"/>
    </font>
    <font>
      <sz val="11"/>
      <color theme="1"/>
      <name val="Garamond"/>
    </font>
    <font>
      <b/>
      <sz val="14"/>
      <color rgb="FF000000"/>
      <name val="Arial"/>
      <scheme val="minor"/>
    </font>
    <font>
      <b/>
      <sz val="10"/>
      <color rgb="FFFFFFFF"/>
      <name val="Arial"/>
      <scheme val="minor"/>
    </font>
    <font>
      <sz val="9"/>
      <color rgb="FFC00000"/>
      <name val="Arial"/>
      <scheme val="minor"/>
    </font>
    <font>
      <sz val="9"/>
      <color rgb="FF808080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1F3864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5" tint="0.39997558519241921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20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14" fontId="5" fillId="0" borderId="2" xfId="0" applyNumberFormat="1" applyFont="1" applyBorder="1"/>
    <xf numFmtId="14" fontId="5" fillId="0" borderId="1" xfId="0" applyNumberFormat="1" applyFont="1" applyBorder="1"/>
    <xf numFmtId="0" fontId="3" fillId="0" borderId="0" xfId="0" applyFont="1" applyAlignment="1">
      <alignment wrapText="1"/>
    </xf>
    <xf numFmtId="0" fontId="3" fillId="0" borderId="0" xfId="0" applyFont="1"/>
    <xf numFmtId="164" fontId="4" fillId="0" borderId="1" xfId="0" applyNumberFormat="1" applyFont="1" applyBorder="1"/>
    <xf numFmtId="0" fontId="6" fillId="0" borderId="0" xfId="0" applyFont="1"/>
    <xf numFmtId="0" fontId="7" fillId="0" borderId="0" xfId="0" applyFont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14" fontId="8" fillId="0" borderId="1" xfId="0" applyNumberFormat="1" applyFont="1" applyBorder="1"/>
    <xf numFmtId="164" fontId="8" fillId="2" borderId="1" xfId="0" applyNumberFormat="1" applyFont="1" applyFill="1" applyBorder="1"/>
    <xf numFmtId="14" fontId="9" fillId="0" borderId="1" xfId="0" applyNumberFormat="1" applyFont="1" applyBorder="1" applyAlignment="1">
      <alignment horizontal="left"/>
    </xf>
    <xf numFmtId="164" fontId="9" fillId="2" borderId="1" xfId="0" applyNumberFormat="1" applyFont="1" applyFill="1" applyBorder="1"/>
    <xf numFmtId="14" fontId="9" fillId="0" borderId="1" xfId="0" applyNumberFormat="1" applyFont="1" applyBorder="1"/>
    <xf numFmtId="14" fontId="8" fillId="0" borderId="1" xfId="0" applyNumberFormat="1" applyFont="1" applyBorder="1" applyAlignment="1">
      <alignment horizontal="left"/>
    </xf>
    <xf numFmtId="165" fontId="9" fillId="0" borderId="1" xfId="0" applyNumberFormat="1" applyFont="1" applyBorder="1" applyAlignment="1">
      <alignment horizontal="left"/>
    </xf>
    <xf numFmtId="164" fontId="9" fillId="0" borderId="1" xfId="0" applyNumberFormat="1" applyFont="1" applyBorder="1"/>
    <xf numFmtId="165" fontId="8" fillId="0" borderId="1" xfId="0" applyNumberFormat="1" applyFont="1" applyBorder="1" applyAlignment="1">
      <alignment horizontal="left"/>
    </xf>
    <xf numFmtId="14" fontId="9" fillId="3" borderId="1" xfId="0" applyNumberFormat="1" applyFont="1" applyFill="1" applyBorder="1" applyAlignment="1">
      <alignment horizontal="left"/>
    </xf>
    <xf numFmtId="14" fontId="3" fillId="0" borderId="0" xfId="0" applyNumberFormat="1" applyFont="1"/>
    <xf numFmtId="0" fontId="9" fillId="0" borderId="1" xfId="0" applyFont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0" fillId="0" borderId="1" xfId="0" applyBorder="1"/>
    <xf numFmtId="0" fontId="3" fillId="0" borderId="1" xfId="0" applyFont="1" applyBorder="1" applyAlignment="1">
      <alignment horizontal="left"/>
    </xf>
    <xf numFmtId="0" fontId="11" fillId="0" borderId="1" xfId="0" applyFont="1" applyBorder="1"/>
    <xf numFmtId="0" fontId="12" fillId="0" borderId="1" xfId="0" applyFont="1" applyBorder="1"/>
    <xf numFmtId="0" fontId="12" fillId="0" borderId="0" xfId="0" applyFont="1"/>
    <xf numFmtId="0" fontId="14" fillId="0" borderId="1" xfId="0" applyFont="1" applyBorder="1"/>
    <xf numFmtId="0" fontId="10" fillId="0" borderId="5" xfId="0" applyFont="1" applyBorder="1"/>
    <xf numFmtId="0" fontId="13" fillId="0" borderId="1" xfId="0" applyFont="1" applyBorder="1"/>
    <xf numFmtId="0" fontId="10" fillId="0" borderId="5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/>
    <xf numFmtId="0" fontId="1" fillId="4" borderId="1" xfId="0" applyFont="1" applyFill="1" applyBorder="1"/>
    <xf numFmtId="0" fontId="14" fillId="4" borderId="1" xfId="0" applyFont="1" applyFill="1" applyBorder="1"/>
    <xf numFmtId="0" fontId="15" fillId="0" borderId="0" xfId="0" applyFont="1"/>
    <xf numFmtId="0" fontId="16" fillId="0" borderId="1" xfId="0" applyFont="1" applyBorder="1"/>
    <xf numFmtId="0" fontId="17" fillId="0" borderId="1" xfId="0" applyFont="1" applyBorder="1"/>
    <xf numFmtId="14" fontId="18" fillId="0" borderId="2" xfId="0" applyNumberFormat="1" applyFont="1" applyBorder="1"/>
    <xf numFmtId="14" fontId="18" fillId="0" borderId="1" xfId="0" applyNumberFormat="1" applyFont="1" applyBorder="1"/>
    <xf numFmtId="0" fontId="18" fillId="0" borderId="1" xfId="0" applyFont="1" applyBorder="1"/>
    <xf numFmtId="0" fontId="17" fillId="0" borderId="2" xfId="0" applyFont="1" applyBorder="1"/>
    <xf numFmtId="0" fontId="17" fillId="0" borderId="3" xfId="0" applyFont="1" applyBorder="1" applyAlignment="1">
      <alignment wrapText="1"/>
    </xf>
    <xf numFmtId="0" fontId="17" fillId="0" borderId="3" xfId="0" applyFont="1" applyBorder="1"/>
    <xf numFmtId="14" fontId="18" fillId="0" borderId="4" xfId="0" applyNumberFormat="1" applyFont="1" applyBorder="1"/>
    <xf numFmtId="0" fontId="19" fillId="0" borderId="3" xfId="0" applyFont="1" applyBorder="1"/>
    <xf numFmtId="0" fontId="17" fillId="0" borderId="1" xfId="0" applyFont="1" applyBorder="1" applyAlignment="1">
      <alignment wrapText="1"/>
    </xf>
    <xf numFmtId="0" fontId="0" fillId="0" borderId="3" xfId="0" applyBorder="1"/>
    <xf numFmtId="0" fontId="21" fillId="0" borderId="3" xfId="0" applyFont="1" applyBorder="1"/>
    <xf numFmtId="0" fontId="20" fillId="2" borderId="4" xfId="0" applyFont="1" applyFill="1" applyBorder="1" applyAlignment="1">
      <alignment horizontal="center" vertical="center"/>
    </xf>
    <xf numFmtId="0" fontId="22" fillId="2" borderId="4" xfId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23" fillId="0" borderId="3" xfId="0" applyFont="1" applyBorder="1" applyAlignment="1">
      <alignment wrapText="1"/>
    </xf>
    <xf numFmtId="0" fontId="23" fillId="0" borderId="3" xfId="0" applyFont="1" applyBorder="1"/>
    <xf numFmtId="0" fontId="24" fillId="0" borderId="1" xfId="0" applyFont="1" applyBorder="1" applyAlignment="1">
      <alignment horizontal="center" vertical="center"/>
    </xf>
    <xf numFmtId="0" fontId="25" fillId="2" borderId="4" xfId="1" applyFont="1" applyFill="1" applyBorder="1" applyAlignment="1">
      <alignment horizontal="center" vertical="center"/>
    </xf>
    <xf numFmtId="0" fontId="17" fillId="0" borderId="0" xfId="0" applyFont="1"/>
    <xf numFmtId="0" fontId="20" fillId="2" borderId="2" xfId="0" applyFont="1" applyFill="1" applyBorder="1" applyAlignment="1">
      <alignment horizontal="center" vertical="center"/>
    </xf>
    <xf numFmtId="0" fontId="25" fillId="2" borderId="2" xfId="1" applyFont="1" applyFill="1" applyBorder="1" applyAlignment="1">
      <alignment horizontal="center" vertical="center"/>
    </xf>
    <xf numFmtId="0" fontId="26" fillId="0" borderId="1" xfId="0" applyFont="1" applyBorder="1"/>
    <xf numFmtId="164" fontId="26" fillId="0" borderId="1" xfId="0" applyNumberFormat="1" applyFont="1" applyBorder="1"/>
    <xf numFmtId="0" fontId="27" fillId="0" borderId="1" xfId="0" applyFont="1" applyBorder="1"/>
    <xf numFmtId="0" fontId="28" fillId="0" borderId="1" xfId="0" applyFont="1" applyBorder="1"/>
    <xf numFmtId="0" fontId="26" fillId="0" borderId="1" xfId="0" applyFont="1" applyBorder="1" applyAlignment="1">
      <alignment wrapText="1"/>
    </xf>
    <xf numFmtId="0" fontId="28" fillId="0" borderId="3" xfId="0" applyFont="1" applyBorder="1"/>
    <xf numFmtId="164" fontId="26" fillId="0" borderId="2" xfId="0" applyNumberFormat="1" applyFont="1" applyBorder="1"/>
    <xf numFmtId="0" fontId="31" fillId="0" borderId="1" xfId="0" applyFont="1" applyBorder="1"/>
    <xf numFmtId="0" fontId="30" fillId="0" borderId="1" xfId="0" applyFont="1" applyBorder="1"/>
    <xf numFmtId="166" fontId="27" fillId="0" borderId="2" xfId="0" applyNumberFormat="1" applyFont="1" applyBorder="1"/>
    <xf numFmtId="14" fontId="26" fillId="0" borderId="2" xfId="0" applyNumberFormat="1" applyFont="1" applyBorder="1" applyAlignment="1">
      <alignment horizontal="right"/>
    </xf>
    <xf numFmtId="14" fontId="27" fillId="0" borderId="1" xfId="0" applyNumberFormat="1" applyFont="1" applyBorder="1" applyAlignment="1">
      <alignment horizontal="right"/>
    </xf>
    <xf numFmtId="14" fontId="26" fillId="0" borderId="1" xfId="0" applyNumberFormat="1" applyFont="1" applyBorder="1" applyAlignment="1">
      <alignment horizontal="right"/>
    </xf>
    <xf numFmtId="0" fontId="22" fillId="0" borderId="1" xfId="1" applyBorder="1" applyAlignment="1">
      <alignment horizontal="center"/>
    </xf>
    <xf numFmtId="14" fontId="27" fillId="0" borderId="2" xfId="0" applyNumberFormat="1" applyFont="1" applyBorder="1"/>
    <xf numFmtId="0" fontId="32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4" fontId="27" fillId="0" borderId="2" xfId="0" applyNumberFormat="1" applyFont="1" applyBorder="1" applyAlignment="1">
      <alignment horizontal="right"/>
    </xf>
    <xf numFmtId="14" fontId="28" fillId="0" borderId="2" xfId="0" applyNumberFormat="1" applyFont="1" applyBorder="1"/>
    <xf numFmtId="14" fontId="32" fillId="0" borderId="2" xfId="0" applyNumberFormat="1" applyFont="1" applyBorder="1" applyAlignment="1">
      <alignment horizontal="right"/>
    </xf>
    <xf numFmtId="14" fontId="33" fillId="6" borderId="2" xfId="0" applyNumberFormat="1" applyFont="1" applyFill="1" applyBorder="1"/>
    <xf numFmtId="166" fontId="27" fillId="0" borderId="1" xfId="0" applyNumberFormat="1" applyFont="1" applyBorder="1" applyAlignment="1">
      <alignment horizontal="right"/>
    </xf>
    <xf numFmtId="0" fontId="28" fillId="0" borderId="0" xfId="0" applyFont="1"/>
    <xf numFmtId="0" fontId="34" fillId="0" borderId="1" xfId="0" applyFont="1" applyBorder="1"/>
    <xf numFmtId="0" fontId="5" fillId="0" borderId="1" xfId="0" applyFont="1" applyBorder="1"/>
    <xf numFmtId="0" fontId="35" fillId="0" borderId="1" xfId="0" applyFont="1" applyBorder="1"/>
    <xf numFmtId="17" fontId="0" fillId="0" borderId="1" xfId="0" applyNumberFormat="1" applyBorder="1"/>
    <xf numFmtId="14" fontId="0" fillId="0" borderId="2" xfId="0" applyNumberFormat="1" applyBorder="1"/>
    <xf numFmtId="14" fontId="0" fillId="0" borderId="1" xfId="0" applyNumberFormat="1" applyBorder="1"/>
    <xf numFmtId="0" fontId="28" fillId="0" borderId="1" xfId="0" applyFont="1" applyBorder="1" applyAlignment="1">
      <alignment wrapText="1"/>
    </xf>
    <xf numFmtId="14" fontId="28" fillId="0" borderId="1" xfId="0" applyNumberFormat="1" applyFont="1" applyBorder="1"/>
    <xf numFmtId="0" fontId="26" fillId="0" borderId="0" xfId="0" applyFont="1"/>
    <xf numFmtId="0" fontId="1" fillId="0" borderId="7" xfId="0" applyFont="1" applyBorder="1"/>
    <xf numFmtId="0" fontId="1" fillId="0" borderId="2" xfId="0" applyFont="1" applyBorder="1"/>
    <xf numFmtId="164" fontId="22" fillId="0" borderId="1" xfId="1" applyNumberFormat="1" applyBorder="1" applyAlignment="1">
      <alignment horizontal="center"/>
    </xf>
    <xf numFmtId="0" fontId="40" fillId="0" borderId="6" xfId="0" applyFont="1" applyBorder="1"/>
    <xf numFmtId="0" fontId="40" fillId="0" borderId="1" xfId="0" applyFont="1" applyBorder="1"/>
    <xf numFmtId="14" fontId="40" fillId="0" borderId="2" xfId="0" applyNumberFormat="1" applyFont="1" applyBorder="1"/>
    <xf numFmtId="14" fontId="40" fillId="0" borderId="1" xfId="0" applyNumberFormat="1" applyFont="1" applyBorder="1"/>
    <xf numFmtId="17" fontId="40" fillId="0" borderId="1" xfId="0" applyNumberFormat="1" applyFont="1" applyBorder="1"/>
    <xf numFmtId="14" fontId="41" fillId="5" borderId="2" xfId="0" applyNumberFormat="1" applyFont="1" applyFill="1" applyBorder="1"/>
    <xf numFmtId="14" fontId="41" fillId="5" borderId="1" xfId="0" applyNumberFormat="1" applyFont="1" applyFill="1" applyBorder="1"/>
    <xf numFmtId="14" fontId="41" fillId="5" borderId="2" xfId="0" applyNumberFormat="1" applyFont="1" applyFill="1" applyBorder="1" applyAlignment="1">
      <alignment horizontal="center"/>
    </xf>
    <xf numFmtId="14" fontId="41" fillId="5" borderId="1" xfId="0" applyNumberFormat="1" applyFont="1" applyFill="1" applyBorder="1" applyAlignment="1">
      <alignment horizontal="center"/>
    </xf>
    <xf numFmtId="14" fontId="40" fillId="0" borderId="2" xfId="0" applyNumberFormat="1" applyFont="1" applyBorder="1" applyAlignment="1">
      <alignment horizontal="center"/>
    </xf>
    <xf numFmtId="14" fontId="40" fillId="0" borderId="1" xfId="0" applyNumberFormat="1" applyFont="1" applyBorder="1" applyAlignment="1">
      <alignment horizontal="center"/>
    </xf>
    <xf numFmtId="0" fontId="41" fillId="0" borderId="6" xfId="0" applyFont="1" applyBorder="1"/>
    <xf numFmtId="0" fontId="41" fillId="0" borderId="1" xfId="0" applyFont="1" applyBorder="1"/>
    <xf numFmtId="14" fontId="41" fillId="0" borderId="1" xfId="0" applyNumberFormat="1" applyFont="1" applyBorder="1"/>
    <xf numFmtId="0" fontId="0" fillId="0" borderId="10" xfId="0" applyBorder="1"/>
    <xf numFmtId="14" fontId="41" fillId="0" borderId="2" xfId="0" applyNumberFormat="1" applyFont="1" applyBorder="1"/>
    <xf numFmtId="0" fontId="42" fillId="0" borderId="2" xfId="0" applyFont="1" applyBorder="1"/>
    <xf numFmtId="0" fontId="44" fillId="0" borderId="1" xfId="0" applyFont="1" applyBorder="1"/>
    <xf numFmtId="0" fontId="35" fillId="0" borderId="9" xfId="0" applyFont="1" applyBorder="1"/>
    <xf numFmtId="0" fontId="22" fillId="0" borderId="0" xfId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36" fillId="0" borderId="2" xfId="0" applyFont="1" applyBorder="1" applyAlignment="1">
      <alignment horizontal="center"/>
    </xf>
    <xf numFmtId="0" fontId="36" fillId="0" borderId="8" xfId="0" applyFont="1" applyBorder="1" applyAlignment="1">
      <alignment horizontal="center"/>
    </xf>
    <xf numFmtId="0" fontId="35" fillId="0" borderId="4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8" fillId="0" borderId="4" xfId="0" applyFont="1" applyBorder="1" applyAlignment="1">
      <alignment horizontal="center"/>
    </xf>
    <xf numFmtId="14" fontId="35" fillId="0" borderId="1" xfId="0" applyNumberFormat="1" applyFont="1" applyBorder="1" applyAlignment="1">
      <alignment horizontal="center"/>
    </xf>
    <xf numFmtId="14" fontId="41" fillId="0" borderId="2" xfId="0" applyNumberFormat="1" applyFont="1" applyBorder="1" applyAlignment="1">
      <alignment horizontal="center"/>
    </xf>
    <xf numFmtId="14" fontId="41" fillId="0" borderId="1" xfId="0" applyNumberFormat="1" applyFont="1" applyBorder="1" applyAlignment="1">
      <alignment horizontal="center"/>
    </xf>
    <xf numFmtId="0" fontId="46" fillId="0" borderId="1" xfId="0" applyFont="1" applyBorder="1"/>
    <xf numFmtId="0" fontId="47" fillId="0" borderId="1" xfId="0" applyFont="1" applyBorder="1"/>
    <xf numFmtId="0" fontId="48" fillId="0" borderId="1" xfId="0" applyFont="1" applyBorder="1"/>
    <xf numFmtId="0" fontId="46" fillId="0" borderId="1" xfId="0" applyFont="1" applyBorder="1" applyAlignment="1">
      <alignment horizontal="center"/>
    </xf>
    <xf numFmtId="14" fontId="46" fillId="0" borderId="2" xfId="0" applyNumberFormat="1" applyFont="1" applyBorder="1"/>
    <xf numFmtId="14" fontId="46" fillId="0" borderId="1" xfId="0" applyNumberFormat="1" applyFont="1" applyBorder="1"/>
    <xf numFmtId="14" fontId="46" fillId="5" borderId="2" xfId="0" applyNumberFormat="1" applyFont="1" applyFill="1" applyBorder="1"/>
    <xf numFmtId="0" fontId="48" fillId="0" borderId="1" xfId="0" applyFont="1" applyBorder="1" applyAlignment="1">
      <alignment horizontal="center"/>
    </xf>
    <xf numFmtId="0" fontId="47" fillId="0" borderId="2" xfId="0" applyFont="1" applyBorder="1"/>
    <xf numFmtId="164" fontId="47" fillId="0" borderId="1" xfId="0" applyNumberFormat="1" applyFont="1" applyBorder="1"/>
    <xf numFmtId="0" fontId="49" fillId="0" borderId="1" xfId="0" applyFont="1" applyBorder="1"/>
    <xf numFmtId="0" fontId="41" fillId="0" borderId="2" xfId="0" applyFont="1" applyBorder="1"/>
    <xf numFmtId="0" fontId="15" fillId="7" borderId="0" xfId="0" applyFont="1" applyFill="1" applyAlignment="1">
      <alignment wrapText="1"/>
    </xf>
    <xf numFmtId="0" fontId="35" fillId="0" borderId="4" xfId="0" applyFont="1" applyBorder="1" applyAlignment="1">
      <alignment horizontal="center" wrapText="1"/>
    </xf>
    <xf numFmtId="0" fontId="40" fillId="0" borderId="11" xfId="0" applyFont="1" applyBorder="1"/>
    <xf numFmtId="0" fontId="40" fillId="0" borderId="5" xfId="0" applyFont="1" applyBorder="1"/>
    <xf numFmtId="14" fontId="41" fillId="5" borderId="5" xfId="0" applyNumberFormat="1" applyFont="1" applyFill="1" applyBorder="1" applyAlignment="1">
      <alignment horizontal="center"/>
    </xf>
    <xf numFmtId="0" fontId="35" fillId="0" borderId="5" xfId="0" applyFont="1" applyBorder="1" applyAlignment="1">
      <alignment horizontal="center"/>
    </xf>
    <xf numFmtId="14" fontId="41" fillId="0" borderId="5" xfId="0" applyNumberFormat="1" applyFont="1" applyBorder="1"/>
    <xf numFmtId="0" fontId="35" fillId="0" borderId="12" xfId="0" applyFont="1" applyBorder="1" applyAlignment="1">
      <alignment horizontal="center"/>
    </xf>
    <xf numFmtId="14" fontId="41" fillId="5" borderId="5" xfId="0" applyNumberFormat="1" applyFont="1" applyFill="1" applyBorder="1"/>
    <xf numFmtId="0" fontId="40" fillId="0" borderId="1" xfId="0" applyFont="1" applyBorder="1" applyAlignment="1">
      <alignment wrapText="1"/>
    </xf>
    <xf numFmtId="0" fontId="26" fillId="0" borderId="6" xfId="0" applyFont="1" applyBorder="1"/>
    <xf numFmtId="0" fontId="38" fillId="0" borderId="12" xfId="0" applyFont="1" applyBorder="1" applyAlignment="1">
      <alignment horizontal="center"/>
    </xf>
    <xf numFmtId="14" fontId="35" fillId="0" borderId="5" xfId="0" applyNumberFormat="1" applyFont="1" applyBorder="1" applyAlignment="1">
      <alignment horizontal="center"/>
    </xf>
    <xf numFmtId="0" fontId="39" fillId="0" borderId="5" xfId="0" applyFont="1" applyBorder="1" applyAlignment="1">
      <alignment horizontal="center"/>
    </xf>
    <xf numFmtId="0" fontId="50" fillId="0" borderId="1" xfId="0" applyFont="1" applyBorder="1"/>
    <xf numFmtId="0" fontId="51" fillId="0" borderId="1" xfId="0" applyFont="1" applyBorder="1"/>
    <xf numFmtId="0" fontId="52" fillId="0" borderId="1" xfId="0" applyFont="1" applyBorder="1"/>
    <xf numFmtId="0" fontId="53" fillId="0" borderId="1" xfId="0" applyFont="1" applyBorder="1"/>
    <xf numFmtId="0" fontId="54" fillId="0" borderId="1" xfId="0" applyFont="1" applyBorder="1"/>
    <xf numFmtId="0" fontId="54" fillId="0" borderId="10" xfId="0" applyFont="1" applyBorder="1"/>
    <xf numFmtId="0" fontId="53" fillId="0" borderId="1" xfId="0" applyFont="1" applyBorder="1" applyAlignment="1">
      <alignment horizontal="center"/>
    </xf>
    <xf numFmtId="0" fontId="54" fillId="0" borderId="2" xfId="0" applyFont="1" applyBorder="1"/>
    <xf numFmtId="0" fontId="55" fillId="0" borderId="1" xfId="0" applyFont="1" applyBorder="1"/>
    <xf numFmtId="14" fontId="53" fillId="0" borderId="2" xfId="0" applyNumberFormat="1" applyFont="1" applyBorder="1"/>
    <xf numFmtId="14" fontId="53" fillId="0" borderId="1" xfId="0" applyNumberFormat="1" applyFont="1" applyBorder="1"/>
    <xf numFmtId="0" fontId="55" fillId="0" borderId="1" xfId="0" applyFont="1" applyBorder="1" applyAlignment="1">
      <alignment horizontal="center"/>
    </xf>
    <xf numFmtId="17" fontId="54" fillId="0" borderId="1" xfId="0" applyNumberFormat="1" applyFont="1" applyBorder="1"/>
    <xf numFmtId="14" fontId="54" fillId="0" borderId="2" xfId="0" applyNumberFormat="1" applyFont="1" applyBorder="1"/>
    <xf numFmtId="14" fontId="54" fillId="0" borderId="1" xfId="0" applyNumberFormat="1" applyFont="1" applyBorder="1"/>
    <xf numFmtId="0" fontId="56" fillId="0" borderId="1" xfId="0" applyFont="1" applyBorder="1"/>
    <xf numFmtId="164" fontId="54" fillId="0" borderId="1" xfId="0" applyNumberFormat="1" applyFont="1" applyBorder="1"/>
    <xf numFmtId="14" fontId="55" fillId="0" borderId="1" xfId="0" applyNumberFormat="1" applyFont="1" applyBorder="1"/>
    <xf numFmtId="0" fontId="53" fillId="0" borderId="1" xfId="0" applyFont="1" applyBorder="1" applyAlignment="1">
      <alignment horizontal="left"/>
    </xf>
    <xf numFmtId="0" fontId="54" fillId="0" borderId="1" xfId="0" applyFont="1" applyBorder="1" applyAlignment="1">
      <alignment horizontal="left"/>
    </xf>
    <xf numFmtId="0" fontId="55" fillId="0" borderId="1" xfId="0" applyFont="1" applyBorder="1" applyAlignment="1">
      <alignment horizontal="left"/>
    </xf>
    <xf numFmtId="0" fontId="57" fillId="0" borderId="1" xfId="0" applyFont="1" applyBorder="1"/>
    <xf numFmtId="0" fontId="58" fillId="0" borderId="1" xfId="0" applyFont="1" applyBorder="1"/>
    <xf numFmtId="0" fontId="59" fillId="0" borderId="1" xfId="0" applyFont="1" applyBorder="1"/>
    <xf numFmtId="0" fontId="60" fillId="0" borderId="1" xfId="0" applyFont="1" applyBorder="1"/>
    <xf numFmtId="0" fontId="61" fillId="0" borderId="1" xfId="0" applyFont="1" applyBorder="1"/>
    <xf numFmtId="0" fontId="61" fillId="0" borderId="0" xfId="0" applyFont="1"/>
    <xf numFmtId="0" fontId="62" fillId="0" borderId="0" xfId="0" applyFont="1"/>
    <xf numFmtId="0" fontId="47" fillId="0" borderId="0" xfId="0" applyFont="1"/>
    <xf numFmtId="14" fontId="63" fillId="0" borderId="2" xfId="0" applyNumberFormat="1" applyFont="1" applyBorder="1"/>
    <xf numFmtId="14" fontId="53" fillId="0" borderId="10" xfId="0" applyNumberFormat="1" applyFont="1" applyBorder="1"/>
    <xf numFmtId="0" fontId="65" fillId="8" borderId="13" xfId="0" applyFont="1" applyFill="1" applyBorder="1" applyAlignment="1">
      <alignment horizontal="center" vertical="center" wrapText="1"/>
    </xf>
    <xf numFmtId="0" fontId="65" fillId="8" borderId="14" xfId="0" applyFont="1" applyFill="1" applyBorder="1" applyAlignment="1">
      <alignment horizontal="center" vertical="center" wrapText="1"/>
    </xf>
    <xf numFmtId="0" fontId="65" fillId="8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14" fontId="54" fillId="0" borderId="10" xfId="0" applyNumberFormat="1" applyFont="1" applyBorder="1"/>
    <xf numFmtId="0" fontId="0" fillId="0" borderId="0" xfId="0"/>
    <xf numFmtId="0" fontId="64" fillId="0" borderId="0" xfId="0" applyFont="1" applyAlignment="1">
      <alignment vertical="center"/>
    </xf>
    <xf numFmtId="0" fontId="67" fillId="0" borderId="17" xfId="0" applyFont="1" applyBorder="1"/>
    <xf numFmtId="0" fontId="66" fillId="0" borderId="18" xfId="0" applyFont="1" applyBorder="1"/>
  </cellXfs>
  <cellStyles count="2">
    <cellStyle name="Hyperlink" xfId="1" builtinId="8"/>
    <cellStyle name="Normal" xfId="0" builtinId="0"/>
  </cellStyles>
  <dxfs count="97">
    <dxf>
      <font>
        <b val="0"/>
        <i/>
        <color rgb="FF7F7F7F"/>
      </font>
    </dxf>
    <dxf>
      <font>
        <b val="0"/>
        <i/>
        <color rgb="FF7F7F7F"/>
      </font>
    </dxf>
    <dxf>
      <fill>
        <patternFill patternType="solid">
          <fgColor indexed="64"/>
          <bgColor rgb="FFFFF2CC"/>
        </patternFill>
      </fill>
    </dxf>
    <dxf>
      <font>
        <color rgb="FFC00000"/>
      </font>
    </dxf>
    <dxf>
      <fill>
        <patternFill patternType="solid">
          <fgColor indexed="64"/>
          <bgColor rgb="FFFFF2CC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5700"/>
      </font>
      <fill>
        <patternFill patternType="solid"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theme="6" tint="0.79998168889431442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ont>
        <sz val="11"/>
      </font>
      <alignment horizont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sz val="11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1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1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1"/>
        <color theme="1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sz val="11"/>
        <name val="Arial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1"/>
        <name val="Arial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Northern Region" id="{8964DED3-326C-44F9-8175-6D1447D7DDEB}">
    <nsvFilter filterId="{00000000-0009-0000-0000-000000000000}" ref="A2:L117" tableId="0">
      <columnFilter colId="0">
        <filter colId="0">
          <x:filters>
            <x:filter val="Northern"/>
          </x:filters>
        </filter>
      </columnFilter>
      <sortRules>
        <sortRule colId="5">
          <sortCondition ref="F2:F117"/>
        </sortRule>
      </sortRules>
    </nsvFilter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outh-East Shows" id="{23C04520-C6AE-4AEA-BB22-10853F4B34BF}">
    <nsvFilter filterId="{00000000-0009-0000-0000-000001000000}" ref="A1:L117" tableId="0">
      <sortRules>
        <sortRule colId="4">
          <sortCondition ref="E1:E117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822C80-C309-4A87-BA40-0C38EE3F8AC4}" name="Table1" displayName="Table1" ref="A2:K114" totalsRowShown="0" headerRowDxfId="96" headerRowBorderDxfId="95" tableBorderDxfId="94">
  <autoFilter ref="A2:K114" xr:uid="{2B822C80-C309-4A87-BA40-0C38EE3F8AC4}">
    <filterColumn colId="6">
      <filters blank="1">
        <dateGroupItem year="2026" dateTimeGrouping="year"/>
        <dateGroupItem year="2025" dateTimeGrouping="year"/>
      </filters>
    </filterColumn>
    <filterColumn colId="7">
      <filters blank="1">
        <filter val="link"/>
        <filter val="pending"/>
        <filter val="ready to sched"/>
        <filter val="scheduled"/>
      </filters>
    </filterColumn>
  </autoFilter>
  <sortState xmlns:xlrd2="http://schemas.microsoft.com/office/spreadsheetml/2017/richdata2" ref="A3:K114">
    <sortCondition ref="G2:G114"/>
  </sortState>
  <tableColumns count="11">
    <tableColumn id="1" xr3:uid="{476F22E0-7C5B-4196-AF88-422A134946EA}" name="Region" dataDxfId="93"/>
    <tableColumn id="2" xr3:uid="{B2422287-EA48-4684-A862-3E5A03B905F4}" name="Category (25/26)" dataDxfId="92"/>
    <tableColumn id="3" xr3:uid="{920A2A63-8ABE-4437-8A8D-130E14346B5B}" name="Society" dataDxfId="91"/>
    <tableColumn id="4" xr3:uid="{E41FB4B8-3727-4647-BE09-15BA338D7B1B}" name="Show" dataDxfId="90"/>
    <tableColumn id="5" xr3:uid="{6FF2EF90-F516-4F48-8731-75A733607308}" name="Opening" dataDxfId="89"/>
    <tableColumn id="6" xr3:uid="{0CC72D5B-FA8C-4DB9-B6CB-DD98D6CB518B}" name="Closing" dataDxfId="88"/>
    <tableColumn id="7" xr3:uid="{717F4765-B397-4822-985D-F83C2234997A}" name="Adjudicator date" dataDxfId="87"/>
    <tableColumn id="8" xr3:uid="{5B91D579-0ECE-4DE4-9C68-0D11ECC698A3}" name="Review Online" dataDxfId="86"/>
    <tableColumn id="9" xr3:uid="{6FA64F84-005D-41D4-BAF0-FC9AB1CF0C22}" name="Director" dataDxfId="85"/>
    <tableColumn id="10" xr3:uid="{53A521C0-A308-4A6E-A82C-295E410B42E8}" name="Musical Director" dataDxfId="84"/>
    <tableColumn id="11" xr3:uid="{B477BC30-0053-464F-A50F-E3C07D88936C}" name="Choreographer" dataDxfId="83"/>
  </tableColumns>
  <tableStyleInfo name="TableStyleMedium3"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94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9F17327-6277-48F4-9459-A3E9716A1D0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d7b8354-37d2-4e40-bdda-712fb839874f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ims.ie/post/review-annie-song" TargetMode="External"/><Relationship Id="rId21" Type="http://schemas.openxmlformats.org/officeDocument/2006/relationships/hyperlink" Target="https://www.aims.ie/post/review-the-wedding-singer-ucd-musical-soc" TargetMode="External"/><Relationship Id="rId34" Type="http://schemas.openxmlformats.org/officeDocument/2006/relationships/hyperlink" Target="https://www.aims.ie/post/review-sweeney-todd-tipperary-musical-society" TargetMode="External"/><Relationship Id="rId42" Type="http://schemas.openxmlformats.org/officeDocument/2006/relationships/hyperlink" Target="https://www.aims.ie/post/review-carrie-ucd-musical-soc" TargetMode="External"/><Relationship Id="rId47" Type="http://schemas.openxmlformats.org/officeDocument/2006/relationships/hyperlink" Target="https://www.aims.ie/post/review-kinky-boots-londonderry-musical-society" TargetMode="External"/><Relationship Id="rId50" Type="http://schemas.openxmlformats.org/officeDocument/2006/relationships/hyperlink" Target="https://www.aims.ie/post/review-me-and-my-girl-new-ross-musical-society" TargetMode="External"/><Relationship Id="rId55" Type="http://schemas.openxmlformats.org/officeDocument/2006/relationships/hyperlink" Target="https://www.aims.ie/post/review-evita-nenagh-choral-society" TargetMode="External"/><Relationship Id="rId63" Type="http://schemas.openxmlformats.org/officeDocument/2006/relationships/hyperlink" Target="https://www.aims.ie/post/review-beauty-the-beast-ennis-musical-society" TargetMode="External"/><Relationship Id="rId7" Type="http://schemas.openxmlformats.org/officeDocument/2006/relationships/hyperlink" Target="https://www.aims.ie/post/review-my-fair-lady-dundalk-ms" TargetMode="External"/><Relationship Id="rId2" Type="http://schemas.openxmlformats.org/officeDocument/2006/relationships/hyperlink" Target="https://www.aims.ie/post/review-all-shook-up-jack-cunningham-productions" TargetMode="External"/><Relationship Id="rId16" Type="http://schemas.openxmlformats.org/officeDocument/2006/relationships/hyperlink" Target="https://www.aims.ie/post/review-rent-muse-productions" TargetMode="External"/><Relationship Id="rId29" Type="http://schemas.openxmlformats.org/officeDocument/2006/relationships/hyperlink" Target="https://www.aims.ie/post/review-hello-dolly-carnew-musical-society" TargetMode="External"/><Relationship Id="rId11" Type="http://schemas.openxmlformats.org/officeDocument/2006/relationships/hyperlink" Target="https://www.aims.ie/post/review-the-addams-family-hxt" TargetMode="External"/><Relationship Id="rId24" Type="http://schemas.openxmlformats.org/officeDocument/2006/relationships/hyperlink" Target="https://www.aims.ie/post/review-jesus-christ-superstar-9-arch-musical-society" TargetMode="External"/><Relationship Id="rId32" Type="http://schemas.openxmlformats.org/officeDocument/2006/relationships/hyperlink" Target="https://www.aims.ie/post/review-charlie-and-the-chocolate-factory-claremorris-musical-society" TargetMode="External"/><Relationship Id="rId37" Type="http://schemas.openxmlformats.org/officeDocument/2006/relationships/hyperlink" Target="https://www.aims.ie/post/review-witches-of-eastwick-malahide-mds" TargetMode="External"/><Relationship Id="rId40" Type="http://schemas.openxmlformats.org/officeDocument/2006/relationships/hyperlink" Target="https://www.aims.ie/post/review-jesus-christ-superstar-entr-acte" TargetMode="External"/><Relationship Id="rId45" Type="http://schemas.openxmlformats.org/officeDocument/2006/relationships/hyperlink" Target="https://www.aims.ie/post/review-the-addams-family-drogheda-musical-society" TargetMode="External"/><Relationship Id="rId53" Type="http://schemas.openxmlformats.org/officeDocument/2006/relationships/hyperlink" Target="https://www.aims.ie/post/review-the-drowsy-chaperone-rush-musical-society" TargetMode="External"/><Relationship Id="rId58" Type="http://schemas.openxmlformats.org/officeDocument/2006/relationships/hyperlink" Target="https://www.aims.ie/post/review-we-will-rock-you-castlebar-mds" TargetMode="External"/><Relationship Id="rId5" Type="http://schemas.openxmlformats.org/officeDocument/2006/relationships/hyperlink" Target="https://www.aims.ie/post/review-into-the-woods-nwmt" TargetMode="External"/><Relationship Id="rId61" Type="http://schemas.openxmlformats.org/officeDocument/2006/relationships/hyperlink" Target="https://www.aims.ie/post/review-guys-and-dolls-dun-laoghaire-mds" TargetMode="External"/><Relationship Id="rId19" Type="http://schemas.openxmlformats.org/officeDocument/2006/relationships/hyperlink" Target="https://www.aims.ie/post/review-anything-goes-coolmine-musical-society" TargetMode="External"/><Relationship Id="rId14" Type="http://schemas.openxmlformats.org/officeDocument/2006/relationships/hyperlink" Target="https://www.aims.ie/post/review-curtains-boyle-musical-society" TargetMode="External"/><Relationship Id="rId22" Type="http://schemas.openxmlformats.org/officeDocument/2006/relationships/hyperlink" Target="https://www.aims.ie/post/review-sister-act-north-east-musical-and-dramatic-society" TargetMode="External"/><Relationship Id="rId27" Type="http://schemas.openxmlformats.org/officeDocument/2006/relationships/hyperlink" Target="https://www.aims.ie/post/review-we-will-rock-you-cecilian-musical-society" TargetMode="External"/><Relationship Id="rId30" Type="http://schemas.openxmlformats.org/officeDocument/2006/relationships/hyperlink" Target="https://www.aims.ie/post/review-spring-awakening-trinity-musical-theatre" TargetMode="External"/><Relationship Id="rId35" Type="http://schemas.openxmlformats.org/officeDocument/2006/relationships/hyperlink" Target="https://www.aims.ie/post/review-follies-gums" TargetMode="External"/><Relationship Id="rId43" Type="http://schemas.openxmlformats.org/officeDocument/2006/relationships/hyperlink" Target="https://www.aims.ie/post/review-legally-blonde-trim-musical-society" TargetMode="External"/><Relationship Id="rId48" Type="http://schemas.openxmlformats.org/officeDocument/2006/relationships/hyperlink" Target="https://www.aims.ie/post/review-come-from-away-letterkenny-ms" TargetMode="External"/><Relationship Id="rId56" Type="http://schemas.openxmlformats.org/officeDocument/2006/relationships/hyperlink" Target="https://www.aims.ie/post/review-fiddler-on-the-roof-youghal-musical-society" TargetMode="External"/><Relationship Id="rId64" Type="http://schemas.openxmlformats.org/officeDocument/2006/relationships/hyperlink" Target="https://www.aims.ie/post/review-the-hunchback-of-notre-dame-gorey-musical-society" TargetMode="External"/><Relationship Id="rId8" Type="http://schemas.openxmlformats.org/officeDocument/2006/relationships/hyperlink" Target="https://www.aims.ie/post/review-made-in-dagenham-tullyvin-ms" TargetMode="External"/><Relationship Id="rId51" Type="http://schemas.openxmlformats.org/officeDocument/2006/relationships/hyperlink" Target="https://www.aims.ie/post/review-we-will-rock-you-mitchelstown-musical-society" TargetMode="External"/><Relationship Id="rId3" Type="http://schemas.openxmlformats.org/officeDocument/2006/relationships/hyperlink" Target="https://www.aims.ie/post/review-come-from-away-agnes-choral" TargetMode="External"/><Relationship Id="rId12" Type="http://schemas.openxmlformats.org/officeDocument/2006/relationships/hyperlink" Target="https://www.aims.ie/post/review-sister-act-st-michael-s-theatre-ms" TargetMode="External"/><Relationship Id="rId17" Type="http://schemas.openxmlformats.org/officeDocument/2006/relationships/hyperlink" Target="https://www.aims.ie/post/review-curtains-clane-musical-dramatic-society" TargetMode="External"/><Relationship Id="rId25" Type="http://schemas.openxmlformats.org/officeDocument/2006/relationships/hyperlink" Target="https://www.aims.ie/post/review-west-side-story-light-opera-society-of-tralee" TargetMode="External"/><Relationship Id="rId33" Type="http://schemas.openxmlformats.org/officeDocument/2006/relationships/hyperlink" Target="https://www.aims.ie/post/review-legally-blonde-aghada-centre-theatre-group" TargetMode="External"/><Relationship Id="rId38" Type="http://schemas.openxmlformats.org/officeDocument/2006/relationships/hyperlink" Target="https://www.aims.ie/post/review-we-will-rock-you-tullamore-musical-society" TargetMode="External"/><Relationship Id="rId46" Type="http://schemas.openxmlformats.org/officeDocument/2006/relationships/hyperlink" Target="https://www.aims.ie/post/review-the-witches-of-eastwick-athlone-musical-society" TargetMode="External"/><Relationship Id="rId59" Type="http://schemas.openxmlformats.org/officeDocument/2006/relationships/hyperlink" Target="https://www.aims.ie/post/review-shrek-ballinasloe-musical-society" TargetMode="External"/><Relationship Id="rId20" Type="http://schemas.openxmlformats.org/officeDocument/2006/relationships/hyperlink" Target="https://www.aims.ie/post/review-the-wizard-of-oz-newcastle-glees" TargetMode="External"/><Relationship Id="rId41" Type="http://schemas.openxmlformats.org/officeDocument/2006/relationships/hyperlink" Target="https://www.aims.ie/post/review-hadestown-teen-edition-bellvue-academy" TargetMode="External"/><Relationship Id="rId54" Type="http://schemas.openxmlformats.org/officeDocument/2006/relationships/hyperlink" Target="https://www.aims.ie/post/review-jekyll-hyde-teachers-musical-society" TargetMode="External"/><Relationship Id="rId62" Type="http://schemas.openxmlformats.org/officeDocument/2006/relationships/hyperlink" Target="https://www.aims.ie/post/review-carrie-the-musical-ucc-musical-theatre-society" TargetMode="External"/><Relationship Id="rId1" Type="http://schemas.openxmlformats.org/officeDocument/2006/relationships/hyperlink" Target="https://www.aims.ie/post/review-my-fair-lady-portrush-ms" TargetMode="External"/><Relationship Id="rId6" Type="http://schemas.openxmlformats.org/officeDocument/2006/relationships/hyperlink" Target="https://www.aims.ie/post/review-9-to-5-ulster-operatic-company" TargetMode="External"/><Relationship Id="rId15" Type="http://schemas.openxmlformats.org/officeDocument/2006/relationships/hyperlink" Target="https://www.aims.ie/post/review-beauty-the-beast-bosco-drama-group" TargetMode="External"/><Relationship Id="rId23" Type="http://schemas.openxmlformats.org/officeDocument/2006/relationships/hyperlink" Target="https://www.aims.ie/post/review-calendar-girls-greasepaint-productions" TargetMode="External"/><Relationship Id="rId28" Type="http://schemas.openxmlformats.org/officeDocument/2006/relationships/hyperlink" Target="https://www.aims.ie/post/review-the-wizard-of-oz-oyster-lane-theatre-group" TargetMode="External"/><Relationship Id="rId36" Type="http://schemas.openxmlformats.org/officeDocument/2006/relationships/hyperlink" Target="https://www.aims.ie/post/review-all-shook-up-killarney-musical-society" TargetMode="External"/><Relationship Id="rId49" Type="http://schemas.openxmlformats.org/officeDocument/2006/relationships/hyperlink" Target="https://www.aims.ie/post/review-the-spongebob-musical-midas" TargetMode="External"/><Relationship Id="rId57" Type="http://schemas.openxmlformats.org/officeDocument/2006/relationships/hyperlink" Target="https://www.aims.ie/post/review-the-hunchback-of-notre-dame-thurles-musical-society" TargetMode="External"/><Relationship Id="rId10" Type="http://schemas.openxmlformats.org/officeDocument/2006/relationships/hyperlink" Target="https://www.aims.ie/post/review-my-fair-lady-newcastle-west-ms" TargetMode="External"/><Relationship Id="rId31" Type="http://schemas.openxmlformats.org/officeDocument/2006/relationships/hyperlink" Target="https://www.aims.ie/post/review-guys-and-dolls-ballywillan-drama-group" TargetMode="External"/><Relationship Id="rId44" Type="http://schemas.openxmlformats.org/officeDocument/2006/relationships/hyperlink" Target="https://www.aims.ie/post/review-we-will-rock-you-naas-musical-society" TargetMode="External"/><Relationship Id="rId52" Type="http://schemas.openxmlformats.org/officeDocument/2006/relationships/hyperlink" Target="https://www.aims.ie/post/review-michael-collins-a-musical-drama-limerick-musical-society" TargetMode="External"/><Relationship Id="rId60" Type="http://schemas.openxmlformats.org/officeDocument/2006/relationships/hyperlink" Target="https://www.aims.ie/post/review-man-of-la-mancha-carrick-on-suir-musical-society" TargetMode="External"/><Relationship Id="rId65" Type="http://schemas.openxmlformats.org/officeDocument/2006/relationships/table" Target="../tables/table1.xml"/><Relationship Id="rId4" Type="http://schemas.openxmlformats.org/officeDocument/2006/relationships/hyperlink" Target="https://www.aims.ie/post/review-come-from-away-bravo-theatre-group" TargetMode="External"/><Relationship Id="rId9" Type="http://schemas.openxmlformats.org/officeDocument/2006/relationships/hyperlink" Target="https://www.aims.ie/post/review-jesus-christ-superstar-odd-theatre-company" TargetMode="External"/><Relationship Id="rId13" Type="http://schemas.openxmlformats.org/officeDocument/2006/relationships/hyperlink" Target="https://www.aims.ie/post/review-rodger-hammerstein-s-cinderella-kims" TargetMode="External"/><Relationship Id="rId18" Type="http://schemas.openxmlformats.org/officeDocument/2006/relationships/hyperlink" Target="https://www.aims.ie/post/review-annie-st-patrick-s-choral-society" TargetMode="External"/><Relationship Id="rId39" Type="http://schemas.openxmlformats.org/officeDocument/2006/relationships/hyperlink" Target="https://www.aims.ie/post/review-come-from-away-shannon-musical-society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ims.ie/post/les-miserables-schools-as-presented-by-s-o-n-g-dundalk" TargetMode="External"/><Relationship Id="rId21" Type="http://schemas.openxmlformats.org/officeDocument/2006/relationships/hyperlink" Target="https://www.aims.ie/post/urinetown-as-presented-by-newcastle-glees-musical-society" TargetMode="External"/><Relationship Id="rId42" Type="http://schemas.openxmlformats.org/officeDocument/2006/relationships/hyperlink" Target="https://www.aims.ie/post/carrie-as-presented-by-trinity-musical-theatre" TargetMode="External"/><Relationship Id="rId47" Type="http://schemas.openxmlformats.org/officeDocument/2006/relationships/hyperlink" Target="https://www.aims.ie/post/michael-collins-as-presented-by-killarney-musical-society" TargetMode="External"/><Relationship Id="rId63" Type="http://schemas.openxmlformats.org/officeDocument/2006/relationships/hyperlink" Target="https://www.aims.ie/post/big-fish-as-presented-by-thurles-musical-society" TargetMode="External"/><Relationship Id="rId68" Type="http://schemas.openxmlformats.org/officeDocument/2006/relationships/hyperlink" Target="https://www.aims.ie/post/legally-blonde-as-presented-by-newbridge-musical-theatre" TargetMode="External"/><Relationship Id="rId84" Type="http://schemas.openxmlformats.org/officeDocument/2006/relationships/hyperlink" Target="https://www.aims.ie/post/sister-act-as-presented-by-clara-musical-society" TargetMode="External"/><Relationship Id="rId89" Type="http://schemas.openxmlformats.org/officeDocument/2006/relationships/hyperlink" Target="https://www.aims.ie/post/les-miserables-school-edition-as-performed-by-newry-youth-performing-arts" TargetMode="External"/><Relationship Id="rId16" Type="http://schemas.openxmlformats.org/officeDocument/2006/relationships/hyperlink" Target="https://www.aims.ie/post/all-shook-up-as-presented-by-st-patrick-s-choral-society" TargetMode="External"/><Relationship Id="rId107" Type="http://schemas.openxmlformats.org/officeDocument/2006/relationships/hyperlink" Target="https://www.aims.ie/post/guys-and-dolls-as-presented-by-lisnagarvey-operatic-dramatic-society" TargetMode="External"/><Relationship Id="rId11" Type="http://schemas.openxmlformats.org/officeDocument/2006/relationships/hyperlink" Target="https://www.aims.ie/post/calamity-jane-as-presented-by-newcastle-west-musical-society" TargetMode="External"/><Relationship Id="rId32" Type="http://schemas.openxmlformats.org/officeDocument/2006/relationships/hyperlink" Target="https://www.aims.ie/post/american-idiot-as-performed-by-galway-university-musical-society" TargetMode="External"/><Relationship Id="rId37" Type="http://schemas.openxmlformats.org/officeDocument/2006/relationships/hyperlink" Target="https://www.aims.ie/post/9-to-5-as-presented-by-trim-musical-society" TargetMode="External"/><Relationship Id="rId53" Type="http://schemas.openxmlformats.org/officeDocument/2006/relationships/hyperlink" Target="https://www.aims.ie/post/all-shook-up-as-presented-by-queens-musical-theatre-society" TargetMode="External"/><Relationship Id="rId58" Type="http://schemas.openxmlformats.org/officeDocument/2006/relationships/hyperlink" Target="https://www.aims.ie/post/fiddler-on-the-roof-as-presented-by-glencullen-dundrum-musical-dramatic-society" TargetMode="External"/><Relationship Id="rId74" Type="http://schemas.openxmlformats.org/officeDocument/2006/relationships/hyperlink" Target="https://www.aims.ie/post/the-addams-family-as-presented-by-dunboyne-musical-society" TargetMode="External"/><Relationship Id="rId79" Type="http://schemas.openxmlformats.org/officeDocument/2006/relationships/hyperlink" Target="https://www.aims.ie/post/the-sound-of-music-as-presented-by-fortwilliam-ms" TargetMode="External"/><Relationship Id="rId102" Type="http://schemas.openxmlformats.org/officeDocument/2006/relationships/hyperlink" Target="https://www.aims.ie/post/calendar-girls-as-presented-by-fun-house-theatre-company" TargetMode="External"/><Relationship Id="rId5" Type="http://schemas.openxmlformats.org/officeDocument/2006/relationships/hyperlink" Target="https://www.aims.ie/post/evita-as-presented-by-ulster-operatic-society" TargetMode="External"/><Relationship Id="rId90" Type="http://schemas.openxmlformats.org/officeDocument/2006/relationships/hyperlink" Target="https://www.aims.ie/post/grease-as-performed-by-craic-theatre" TargetMode="External"/><Relationship Id="rId95" Type="http://schemas.openxmlformats.org/officeDocument/2006/relationships/hyperlink" Target="https://www.aims.ie/post/the-addams-family-as-presented-by-bray-musical-society" TargetMode="External"/><Relationship Id="rId22" Type="http://schemas.openxmlformats.org/officeDocument/2006/relationships/hyperlink" Target="https://www.aims.ie/post/made-in-dagenham-as-presented-by-portlaoise-musical-society" TargetMode="External"/><Relationship Id="rId27" Type="http://schemas.openxmlformats.org/officeDocument/2006/relationships/hyperlink" Target="https://www.aims.ie/post/once-as-presented-by-the-odd-theatre-company" TargetMode="External"/><Relationship Id="rId43" Type="http://schemas.openxmlformats.org/officeDocument/2006/relationships/hyperlink" Target="https://www.aims.ie/post/the-addams-family-as-presented-by-aghada-centre-theatre-group" TargetMode="External"/><Relationship Id="rId48" Type="http://schemas.openxmlformats.org/officeDocument/2006/relationships/hyperlink" Target="https://www.aims.ie/post/nativity-the-musical-as-presented-by-encore-paa" TargetMode="External"/><Relationship Id="rId64" Type="http://schemas.openxmlformats.org/officeDocument/2006/relationships/hyperlink" Target="https://www.aims.ie/post/beautiful-the-carole-king-musical-as-presented-by-david-hennessy-musical-dramatic-society" TargetMode="External"/><Relationship Id="rId69" Type="http://schemas.openxmlformats.org/officeDocument/2006/relationships/hyperlink" Target="https://www.aims.ie/post/legally-blonde-as-presented-by-st-mels-musical-society" TargetMode="External"/><Relationship Id="rId80" Type="http://schemas.openxmlformats.org/officeDocument/2006/relationships/hyperlink" Target="https://www.aims.ie/post/michael-collins-as-presented-by-gorey-musical-society" TargetMode="External"/><Relationship Id="rId85" Type="http://schemas.openxmlformats.org/officeDocument/2006/relationships/hyperlink" Target="https://www.aims.ie/post/sister-act-as-presented-by-tralee-musical-society" TargetMode="External"/><Relationship Id="rId12" Type="http://schemas.openxmlformats.org/officeDocument/2006/relationships/hyperlink" Target="https://www.aims.ie/post/evita-as-presented-by-marian-choral-society" TargetMode="External"/><Relationship Id="rId17" Type="http://schemas.openxmlformats.org/officeDocument/2006/relationships/hyperlink" Target="https://www.aims.ie/post/into-the-woods-as-presented-by-sligo-fun-company" TargetMode="External"/><Relationship Id="rId33" Type="http://schemas.openxmlformats.org/officeDocument/2006/relationships/hyperlink" Target="https://www.aims.ie/post/rock-of-ages-as-presented-by-tullamore-musical-society" TargetMode="External"/><Relationship Id="rId38" Type="http://schemas.openxmlformats.org/officeDocument/2006/relationships/hyperlink" Target="https://www.aims.ie/post/guys-and-dolls-as-presented-by-entr-acte" TargetMode="External"/><Relationship Id="rId59" Type="http://schemas.openxmlformats.org/officeDocument/2006/relationships/hyperlink" Target="https://www.aims.ie/post/sweeney-todd-as-presented-by-mitchelstown-musical-society" TargetMode="External"/><Relationship Id="rId103" Type="http://schemas.openxmlformats.org/officeDocument/2006/relationships/hyperlink" Target="https://www.aims.ie/post/evita-as-presented-by-waterford-musical-society" TargetMode="External"/><Relationship Id="rId108" Type="http://schemas.microsoft.com/office/2019/04/relationships/namedSheetView" Target="../namedSheetViews/namedSheetView1.xml"/><Relationship Id="rId20" Type="http://schemas.openxmlformats.org/officeDocument/2006/relationships/hyperlink" Target="https://www.aims.ie/post/footloose-as-presented-by-ucd-musical-society" TargetMode="External"/><Relationship Id="rId41" Type="http://schemas.openxmlformats.org/officeDocument/2006/relationships/hyperlink" Target="https://www.aims.ie/post/singin-in-the-rain-as-presented-by-sligo-musical-society" TargetMode="External"/><Relationship Id="rId54" Type="http://schemas.openxmlformats.org/officeDocument/2006/relationships/hyperlink" Target="https://www.aims.ie/post/hunchback-of-notre-dame-as-presented-by-teachers-musical-society" TargetMode="External"/><Relationship Id="rId62" Type="http://schemas.openxmlformats.org/officeDocument/2006/relationships/hyperlink" Target="https://www.aims.ie/post/calendar-girls-as-presented-by-newcastle-glees" TargetMode="External"/><Relationship Id="rId70" Type="http://schemas.openxmlformats.org/officeDocument/2006/relationships/hyperlink" Target="https://www.aims.ie/post/the-25th-annual-putnam-county-spelling-bee-as-presented-by-ul-musical-theatre-society" TargetMode="External"/><Relationship Id="rId75" Type="http://schemas.openxmlformats.org/officeDocument/2006/relationships/hyperlink" Target="https://www.aims.ie/post/evita-as-performed-by-st-mary-s-choral-society-clonmel" TargetMode="External"/><Relationship Id="rId83" Type="http://schemas.openxmlformats.org/officeDocument/2006/relationships/hyperlink" Target="https://www.aims.ie/post/grease-as-presented-by-ucc-ms" TargetMode="External"/><Relationship Id="rId88" Type="http://schemas.openxmlformats.org/officeDocument/2006/relationships/hyperlink" Target="https://www.aims.ie/post/oliver-as-presented-by-galway-musical-society" TargetMode="External"/><Relationship Id="rId91" Type="http://schemas.openxmlformats.org/officeDocument/2006/relationships/hyperlink" Target="https://www.aims.ie/post/the-addams-family-as-presented-by-clane-mds" TargetMode="External"/><Relationship Id="rId96" Type="http://schemas.openxmlformats.org/officeDocument/2006/relationships/hyperlink" Target="https://www.aims.ie/post/chess-as-presented-by-dun-laoghaire-musical-dramatic-society" TargetMode="External"/><Relationship Id="rId1" Type="http://schemas.openxmlformats.org/officeDocument/2006/relationships/hyperlink" Target="https://www.aims.ie/post/kinky-boots-as-presented-by-ballywillan-drama-group" TargetMode="External"/><Relationship Id="rId6" Type="http://schemas.openxmlformats.org/officeDocument/2006/relationships/hyperlink" Target="https://www.aims.ie/post/bare-as-presented-by-ucd-musical-society" TargetMode="External"/><Relationship Id="rId15" Type="http://schemas.openxmlformats.org/officeDocument/2006/relationships/hyperlink" Target="https://www.aims.ie/post/all-shook-up-as-presented-by-north-east-musical-dramatic-society" TargetMode="External"/><Relationship Id="rId23" Type="http://schemas.openxmlformats.org/officeDocument/2006/relationships/hyperlink" Target="https://www.aims.ie/post/the-producers-as-presented-by-oyster-lane-theatre-group" TargetMode="External"/><Relationship Id="rId28" Type="http://schemas.openxmlformats.org/officeDocument/2006/relationships/hyperlink" Target="https://www.aims.ie/post/oklahoma-as-presented-by-st-michael-s-theatre-musical-society" TargetMode="External"/><Relationship Id="rId36" Type="http://schemas.openxmlformats.org/officeDocument/2006/relationships/hyperlink" Target="https://www.aims.ie/post/young-frankenstein-as-presented-by-tipperary-musical-society" TargetMode="External"/><Relationship Id="rId49" Type="http://schemas.openxmlformats.org/officeDocument/2006/relationships/hyperlink" Target="https://www.aims.ie/post/legally-blonde-as-presented-by-castlebar-musical-dramatic-society" TargetMode="External"/><Relationship Id="rId57" Type="http://schemas.openxmlformats.org/officeDocument/2006/relationships/hyperlink" Target="https://www.aims.ie/post/the-addams-family-as-presented-by-birr-stage-guild" TargetMode="External"/><Relationship Id="rId106" Type="http://schemas.openxmlformats.org/officeDocument/2006/relationships/hyperlink" Target="https://www.aims.ie/post/grease-as-presented-by-roscrea-musical-society" TargetMode="External"/><Relationship Id="rId10" Type="http://schemas.openxmlformats.org/officeDocument/2006/relationships/hyperlink" Target="https://www.aims.ie/post/all-shook-up-as-presented-by-dundalk-musical-society" TargetMode="External"/><Relationship Id="rId31" Type="http://schemas.openxmlformats.org/officeDocument/2006/relationships/hyperlink" Target="https://www.aims.ie/post/elf-as-presented-by-studio-55-productions" TargetMode="External"/><Relationship Id="rId44" Type="http://schemas.openxmlformats.org/officeDocument/2006/relationships/hyperlink" Target="https://www.aims.ie/post/les-miserables-school-edition-as-presented-by-bellvue-academy-of-performing-arts" TargetMode="External"/><Relationship Id="rId52" Type="http://schemas.openxmlformats.org/officeDocument/2006/relationships/hyperlink" Target="https://www.aims.ie/post/the-addams-family-as-presented-by-letterkenny-musical-society" TargetMode="External"/><Relationship Id="rId60" Type="http://schemas.openxmlformats.org/officeDocument/2006/relationships/hyperlink" Target="https://www.aims.ie/post/beauty-the-beast-as-presented-by-nenagh-choral-society" TargetMode="External"/><Relationship Id="rId65" Type="http://schemas.openxmlformats.org/officeDocument/2006/relationships/hyperlink" Target="https://www.aims.ie/post/little-shop-of-horrors-as-presented-by-ballinasloe-musical-society" TargetMode="External"/><Relationship Id="rId73" Type="http://schemas.openxmlformats.org/officeDocument/2006/relationships/hyperlink" Target="https://www.aims.ie/post/the-little-mermaid-as-presented-by-avonmore-musical-society" TargetMode="External"/><Relationship Id="rId78" Type="http://schemas.openxmlformats.org/officeDocument/2006/relationships/hyperlink" Target="https://www.aims.ie/post/legally-blonde-as-presented-by-dcu-drama-soc" TargetMode="External"/><Relationship Id="rId81" Type="http://schemas.openxmlformats.org/officeDocument/2006/relationships/hyperlink" Target="https://www.aims.ie/post/oliver-as-presented-by-limerick-musical-society" TargetMode="External"/><Relationship Id="rId86" Type="http://schemas.openxmlformats.org/officeDocument/2006/relationships/hyperlink" Target="https://www.aims.ie/post/oklahoma-as-presented-by-banbridge-musical-society" TargetMode="External"/><Relationship Id="rId94" Type="http://schemas.openxmlformats.org/officeDocument/2006/relationships/hyperlink" Target="https://www.aims.ie/post/the-producers-as-presented-by-leixlip-musical-and-variety-group" TargetMode="External"/><Relationship Id="rId99" Type="http://schemas.openxmlformats.org/officeDocument/2006/relationships/hyperlink" Target="https://www.aims.ie/post/9-to-5-as-presented-by-carrick-on-suir-musical-society" TargetMode="External"/><Relationship Id="rId101" Type="http://schemas.openxmlformats.org/officeDocument/2006/relationships/hyperlink" Target="https://www.aims.ie/post/fiddler-on-the-roof-as-presented-by-ballywillan-drama-group" TargetMode="External"/><Relationship Id="rId4" Type="http://schemas.openxmlformats.org/officeDocument/2006/relationships/hyperlink" Target="https://www.aims.ie/post/rent-as-presented-by-north-wexford-musical-theatre" TargetMode="External"/><Relationship Id="rId9" Type="http://schemas.openxmlformats.org/officeDocument/2006/relationships/hyperlink" Target="https://www.aims.ie/post/little-shop-of-horrors-as-presented-by-tullyvin-musical-society" TargetMode="External"/><Relationship Id="rId13" Type="http://schemas.openxmlformats.org/officeDocument/2006/relationships/hyperlink" Target="https://www.aims.ie/post/young-frankenstein-as-presented-by-kilmainham-inchicore-musical-society-kims" TargetMode="External"/><Relationship Id="rId18" Type="http://schemas.openxmlformats.org/officeDocument/2006/relationships/hyperlink" Target="https://www.aims.ie/post/seussical-as-presented-by-coolmine-musical-society" TargetMode="External"/><Relationship Id="rId39" Type="http://schemas.openxmlformats.org/officeDocument/2006/relationships/hyperlink" Target="https://www.aims.ie/post/young-frankenstein-as-presented-by-claremorris-musical-society" TargetMode="External"/><Relationship Id="rId34" Type="http://schemas.openxmlformats.org/officeDocument/2006/relationships/hyperlink" Target="https://www.aims.ie/post/phantom-of-the-opera-as-presented-by-ballinrobe-musical-society" TargetMode="External"/><Relationship Id="rId50" Type="http://schemas.openxmlformats.org/officeDocument/2006/relationships/hyperlink" Target="https://www.aims.ie/post/sister-act-as-presented-by-newry-musical-society" TargetMode="External"/><Relationship Id="rId55" Type="http://schemas.openxmlformats.org/officeDocument/2006/relationships/hyperlink" Target="https://www.aims.ie/post/9-to-5-as-presented-by-naas-musical-society" TargetMode="External"/><Relationship Id="rId76" Type="http://schemas.openxmlformats.org/officeDocument/2006/relationships/hyperlink" Target="https://www.aims.ie/post/pirates-of-penzance-as-presented-by-rush-musical-society" TargetMode="External"/><Relationship Id="rId97" Type="http://schemas.openxmlformats.org/officeDocument/2006/relationships/hyperlink" Target="https://www.aims.ie/post/oliver-as-presented-by-encore-performing-arts-academy" TargetMode="External"/><Relationship Id="rId104" Type="http://schemas.openxmlformats.org/officeDocument/2006/relationships/hyperlink" Target="https://www.aims.ie/post/the-little-mermaid-as-presented-by-striking-productions" TargetMode="External"/><Relationship Id="rId7" Type="http://schemas.openxmlformats.org/officeDocument/2006/relationships/hyperlink" Target="https://www.aims.ie/post/calendar-girls-as-presented-by-bravo-theatre-group" TargetMode="External"/><Relationship Id="rId71" Type="http://schemas.openxmlformats.org/officeDocument/2006/relationships/hyperlink" Target="https://www.aims.ie/post/rock-of-ages-as-presented-by-kilcock-musical-society" TargetMode="External"/><Relationship Id="rId92" Type="http://schemas.openxmlformats.org/officeDocument/2006/relationships/hyperlink" Target="https://www.aims.ie/post/legally-blonde-as-presented-by-baldoyle-musical-society" TargetMode="External"/><Relationship Id="rId2" Type="http://schemas.openxmlformats.org/officeDocument/2006/relationships/hyperlink" Target="https://www.aims.ie/post/rent-presented-by-fermanagh-musical-society" TargetMode="External"/><Relationship Id="rId29" Type="http://schemas.openxmlformats.org/officeDocument/2006/relationships/hyperlink" Target="https://www.aims.ie/post/all-shook-up-as-presented-by-letterkenny-music-drama-group" TargetMode="External"/><Relationship Id="rId24" Type="http://schemas.openxmlformats.org/officeDocument/2006/relationships/hyperlink" Target="https://www.aims.ie/post/shrek-as-performed-by-cecilian-musical-society" TargetMode="External"/><Relationship Id="rId40" Type="http://schemas.openxmlformats.org/officeDocument/2006/relationships/hyperlink" Target="https://www.aims.ie/post/cry-baby-as-presented-by-malahide-musical-society" TargetMode="External"/><Relationship Id="rId45" Type="http://schemas.openxmlformats.org/officeDocument/2006/relationships/hyperlink" Target="https://www.aims.ie/post/urinetown-as-presented-by-athlone-musical-society" TargetMode="External"/><Relationship Id="rId66" Type="http://schemas.openxmlformats.org/officeDocument/2006/relationships/hyperlink" Target="https://www.aims.ie/post/oliver-as-presented-by-londonderry-musical-society" TargetMode="External"/><Relationship Id="rId87" Type="http://schemas.openxmlformats.org/officeDocument/2006/relationships/hyperlink" Target="https://www.aims.ie/post/the-sound-of-music-as-presented-by-kilkenny-musical-society" TargetMode="External"/><Relationship Id="rId61" Type="http://schemas.openxmlformats.org/officeDocument/2006/relationships/hyperlink" Target="https://www.aims.ie/post/into-the-woods-as-presented-by-midas" TargetMode="External"/><Relationship Id="rId82" Type="http://schemas.openxmlformats.org/officeDocument/2006/relationships/hyperlink" Target="https://www.aims.ie/post/cats-by-maynooth-university-musical-society" TargetMode="External"/><Relationship Id="rId19" Type="http://schemas.openxmlformats.org/officeDocument/2006/relationships/hyperlink" Target="https://www.aims.ie/post/kinky-boots-as-presented-by-9-arch-musical-society" TargetMode="External"/><Relationship Id="rId14" Type="http://schemas.openxmlformats.org/officeDocument/2006/relationships/hyperlink" Target="https://www.aims.ie/post/everybody-s-talking-about-jamie-as-presented-by-bosco-drama-group-newry" TargetMode="External"/><Relationship Id="rId30" Type="http://schemas.openxmlformats.org/officeDocument/2006/relationships/hyperlink" Target="https://www.aims.ie/post/hunchback-of-notre-dame-as-presented-by-boyle-musical-society" TargetMode="External"/><Relationship Id="rId35" Type="http://schemas.openxmlformats.org/officeDocument/2006/relationships/hyperlink" Target="https://www.aims.ie/post/the-little-mermaid-as-presented-by-shannon-musical-society" TargetMode="External"/><Relationship Id="rId56" Type="http://schemas.openxmlformats.org/officeDocument/2006/relationships/hyperlink" Target="https://www.aims.ie/post/phantom-of-the-opera-as-presented-by-lost-light-opera-society-of-tralee" TargetMode="External"/><Relationship Id="rId77" Type="http://schemas.openxmlformats.org/officeDocument/2006/relationships/hyperlink" Target="https://www.aims.ie/post/sister-act-as-presented-by-kilmacud-musical-society" TargetMode="External"/><Relationship Id="rId100" Type="http://schemas.openxmlformats.org/officeDocument/2006/relationships/hyperlink" Target="https://www.aims.ie/post/made-in-dagenham-as-presented-by-st-mary-s-ms-navan" TargetMode="External"/><Relationship Id="rId105" Type="http://schemas.openxmlformats.org/officeDocument/2006/relationships/hyperlink" Target="https://www.aims.ie/post/phantom-of-the-opera-as-presented-by-wexford-light-opera-society" TargetMode="External"/><Relationship Id="rId8" Type="http://schemas.openxmlformats.org/officeDocument/2006/relationships/hyperlink" Target="https://www.aims.ie/post/legally-blonde-as-presented-by-nenagh-choral-society-youth-academy" TargetMode="External"/><Relationship Id="rId51" Type="http://schemas.openxmlformats.org/officeDocument/2006/relationships/hyperlink" Target="https://www.aims.ie/post/sister-act-as-presented-by-newry-musical-society" TargetMode="External"/><Relationship Id="rId72" Type="http://schemas.openxmlformats.org/officeDocument/2006/relationships/hyperlink" Target="https://www.aims.ie/post/happy-days-as-presented-by-enniscorthy-musical-society" TargetMode="External"/><Relationship Id="rId93" Type="http://schemas.openxmlformats.org/officeDocument/2006/relationships/hyperlink" Target="https://www.aims.ie/post/young-frankenstein-as-presented-by-st-agnes-choral-society" TargetMode="External"/><Relationship Id="rId98" Type="http://schemas.openxmlformats.org/officeDocument/2006/relationships/hyperlink" Target="https://www.aims.ie/post/9-to-5-as-presented-by-castlerea-musical-society" TargetMode="External"/><Relationship Id="rId3" Type="http://schemas.openxmlformats.org/officeDocument/2006/relationships/hyperlink" Target="https://www.aims.ie/post/guys-and-dolls-as-presented-by-jack-cunningham-productions" TargetMode="External"/><Relationship Id="rId25" Type="http://schemas.openxmlformats.org/officeDocument/2006/relationships/hyperlink" Target="https://www.aims.ie/post/the-addams-family-as-presented-by-carnew-musical-society" TargetMode="External"/><Relationship Id="rId46" Type="http://schemas.openxmlformats.org/officeDocument/2006/relationships/hyperlink" Target="https://www.aims.ie/post/fiddler-on-the-roof-as-presented-by-new-ross-musical-society" TargetMode="External"/><Relationship Id="rId67" Type="http://schemas.openxmlformats.org/officeDocument/2006/relationships/hyperlink" Target="https://www.aims.ie/post/the-wedding-singer-as-presented-by-ennis-musical-society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ims.ie/post/bonnie-clyde-as-presented-by-ucd-musical-society" TargetMode="External"/><Relationship Id="rId21" Type="http://schemas.openxmlformats.org/officeDocument/2006/relationships/hyperlink" Target="https://www.aims.ie/post/rock-of-ages-as-presented-by-9arch-musical-society" TargetMode="External"/><Relationship Id="rId42" Type="http://schemas.openxmlformats.org/officeDocument/2006/relationships/hyperlink" Target="https://www.aims.ie/post/sweeney-todd-as-presented-by-entr-acte" TargetMode="External"/><Relationship Id="rId47" Type="http://schemas.openxmlformats.org/officeDocument/2006/relationships/hyperlink" Target="https://www.aims.ie/post/rock-of-ages-as-presented-by-trim-musical-society" TargetMode="External"/><Relationship Id="rId63" Type="http://schemas.openxmlformats.org/officeDocument/2006/relationships/hyperlink" Target="https://www.aims.ie/post/sister-act-as-presented-by-clane-musical-dramatic-society" TargetMode="External"/><Relationship Id="rId68" Type="http://schemas.openxmlformats.org/officeDocument/2006/relationships/hyperlink" Target="https://www.aims.ie/post/seussical-as-presented-by-ul-musical-theatre-society" TargetMode="External"/><Relationship Id="rId84" Type="http://schemas.openxmlformats.org/officeDocument/2006/relationships/hyperlink" Target="https://aims.ie/post/joseph-and-the-amazing-technicolour-dreamcoat-as-presented-by-enniscorthy-musical-society" TargetMode="External"/><Relationship Id="rId89" Type="http://schemas.openxmlformats.org/officeDocument/2006/relationships/hyperlink" Target="https://www.aims.ie/post/annie-as-presented-by-castlerea-musical-society" TargetMode="External"/><Relationship Id="rId16" Type="http://schemas.openxmlformats.org/officeDocument/2006/relationships/hyperlink" Target="https://www.aims.ie/post/sister-act-as-presented-by-coolmine-musical-society" TargetMode="External"/><Relationship Id="rId11" Type="http://schemas.openxmlformats.org/officeDocument/2006/relationships/hyperlink" Target="https://www.aims.ie/post/oklahoma-as-presented-by-tullyvin-musical-society" TargetMode="External"/><Relationship Id="rId32" Type="http://schemas.openxmlformats.org/officeDocument/2006/relationships/hyperlink" Target="https://www.aims.ie/post/the-addams-family-as-presented-by-glenamaddy-musical-society" TargetMode="External"/><Relationship Id="rId37" Type="http://schemas.openxmlformats.org/officeDocument/2006/relationships/hyperlink" Target="https://www.aims.ie/post/guys-and-dolls-as-presented-by-gums" TargetMode="External"/><Relationship Id="rId53" Type="http://schemas.openxmlformats.org/officeDocument/2006/relationships/hyperlink" Target="https://www.aims.ie/post/into-the-woods-as-presented-by-trinity-musical-theatre" TargetMode="External"/><Relationship Id="rId58" Type="http://schemas.openxmlformats.org/officeDocument/2006/relationships/hyperlink" Target="https://www.aims.ie/post/the-spongebob-musical-as-presented-by-mitchelstown-musical-society" TargetMode="External"/><Relationship Id="rId74" Type="http://schemas.openxmlformats.org/officeDocument/2006/relationships/hyperlink" Target="https://www.aims.ie/post/the-witches-of-eastwick-as-presented-by-ennis-musical-society" TargetMode="External"/><Relationship Id="rId79" Type="http://schemas.openxmlformats.org/officeDocument/2006/relationships/hyperlink" Target="https://www.aims.ie/post/shrek-as-presented-by-newry-youth-performing-arts" TargetMode="External"/><Relationship Id="rId5" Type="http://schemas.openxmlformats.org/officeDocument/2006/relationships/hyperlink" Target="https://www.aims.ie/post/sweet-charity-as-presented-by-ucd-musical-society" TargetMode="External"/><Relationship Id="rId90" Type="http://schemas.openxmlformats.org/officeDocument/2006/relationships/hyperlink" Target="https://www.aims.ie/post/our-house-as-presented-by-lmvg" TargetMode="External"/><Relationship Id="rId22" Type="http://schemas.openxmlformats.org/officeDocument/2006/relationships/hyperlink" Target="https://www.aims.ie/post/the-addams-family-as-presented-by-newcastle-west-ms" TargetMode="External"/><Relationship Id="rId27" Type="http://schemas.openxmlformats.org/officeDocument/2006/relationships/hyperlink" Target="https://www.aims.ie/post/sunday-in-the-park-with-george-as-presented-by-odd-theatre-company" TargetMode="External"/><Relationship Id="rId43" Type="http://schemas.openxmlformats.org/officeDocument/2006/relationships/hyperlink" Target="https://www.aims.ie/post/the-addams-family-as-presented-by-claremorris-musical-society" TargetMode="External"/><Relationship Id="rId48" Type="http://schemas.openxmlformats.org/officeDocument/2006/relationships/hyperlink" Target="https://www.aims.ie/post/little-shop-of-horrors-as-presented-by-ucd-musical-society" TargetMode="External"/><Relationship Id="rId64" Type="http://schemas.openxmlformats.org/officeDocument/2006/relationships/hyperlink" Target="https://www.aims.ie/post/the-addams-family-as-presented-by-carrick-on-suir-musical-society" TargetMode="External"/><Relationship Id="rId69" Type="http://schemas.openxmlformats.org/officeDocument/2006/relationships/hyperlink" Target="https://www.aims.ie/post/sister-act-as-presented-by-castlebar-musical-dramatic-society" TargetMode="External"/><Relationship Id="rId8" Type="http://schemas.openxmlformats.org/officeDocument/2006/relationships/hyperlink" Target="https://www.aims.ie/post/shrek-as-presented-by-nenagh-choral-society-youth-academy" TargetMode="External"/><Relationship Id="rId51" Type="http://schemas.openxmlformats.org/officeDocument/2006/relationships/hyperlink" Target="https://www.aims.ie/post/west-side-story-as-presented-by-bellvue-academy-of-performing-arts" TargetMode="External"/><Relationship Id="rId72" Type="http://schemas.openxmlformats.org/officeDocument/2006/relationships/hyperlink" Target="https://www.aims.ie/post/charlie-the-chocolate-factory-as-presented-by-limerick-musical-society" TargetMode="External"/><Relationship Id="rId80" Type="http://schemas.openxmlformats.org/officeDocument/2006/relationships/hyperlink" Target="https://www.aims.ie/post/beauty-and-the-beast-as-presented-by-st-mary-s-choral-clonmel" TargetMode="External"/><Relationship Id="rId85" Type="http://schemas.openxmlformats.org/officeDocument/2006/relationships/hyperlink" Target="https://www.aims.ie/post/the-sound-of-music-as-presented-by-dunmore-musical-society" TargetMode="External"/><Relationship Id="rId93" Type="http://schemas.microsoft.com/office/2019/04/relationships/namedSheetView" Target="../namedSheetViews/namedSheetView2.xml"/><Relationship Id="rId3" Type="http://schemas.openxmlformats.org/officeDocument/2006/relationships/hyperlink" Target="https://www.aims.ie/post/crazy-for-you-as-presented-by-jack-cunningham-productions" TargetMode="External"/><Relationship Id="rId12" Type="http://schemas.openxmlformats.org/officeDocument/2006/relationships/hyperlink" Target="https://www.aims.ie/post/rock-of-ages-as-presented-by-kilmainham-inchicore-musical-society" TargetMode="External"/><Relationship Id="rId17" Type="http://schemas.openxmlformats.org/officeDocument/2006/relationships/hyperlink" Target="https://www.aims.ie/post/the-witches-of-eastwick-as-presented-by-st-michael-s-theatre-musical-society" TargetMode="External"/><Relationship Id="rId25" Type="http://schemas.openxmlformats.org/officeDocument/2006/relationships/hyperlink" Target="https://www.aims.ie/post/a-christmas-carol-as-presented-by-oyster-lane-theatre-group" TargetMode="External"/><Relationship Id="rId33" Type="http://schemas.openxmlformats.org/officeDocument/2006/relationships/hyperlink" Target="https://www.aims.ie/post/shrek-as-presented-by-letterkenny-music-and-drama-group" TargetMode="External"/><Relationship Id="rId38" Type="http://schemas.openxmlformats.org/officeDocument/2006/relationships/hyperlink" Target="https://www.aims.ie/post/the-hunchback-of-notre-dame-as-presented-by-ballinrobe-ms" TargetMode="External"/><Relationship Id="rId46" Type="http://schemas.openxmlformats.org/officeDocument/2006/relationships/hyperlink" Target="https://www.aims.ie/post/jesus-christ-superstar-as-presented-by-l-o-s-t" TargetMode="External"/><Relationship Id="rId59" Type="http://schemas.openxmlformats.org/officeDocument/2006/relationships/hyperlink" Target="https://www.aims.ie/post/the-little-mermaid-as-presented-by-ballinasloe-musical-society" TargetMode="External"/><Relationship Id="rId67" Type="http://schemas.openxmlformats.org/officeDocument/2006/relationships/hyperlink" Target="https://www.aims.ie/post/hot-mikado-as-presented-by-thurles-musical-society" TargetMode="External"/><Relationship Id="rId20" Type="http://schemas.openxmlformats.org/officeDocument/2006/relationships/hyperlink" Target="https://www.aims.ie/post/the-sound-of-music-as-presented-by-boyle-musical-society" TargetMode="External"/><Relationship Id="rId41" Type="http://schemas.openxmlformats.org/officeDocument/2006/relationships/hyperlink" Target="https://www.aims.ie/post/cry-baby-as-presented-by-shannon-musical-society" TargetMode="External"/><Relationship Id="rId54" Type="http://schemas.openxmlformats.org/officeDocument/2006/relationships/hyperlink" Target="https://www.aims.ie/post/cry-baby-as-presented-by-athlone-musical-society" TargetMode="External"/><Relationship Id="rId62" Type="http://schemas.openxmlformats.org/officeDocument/2006/relationships/hyperlink" Target="https://www.aims.ie/post/the-sound-of-music-as-presented-by-st-patrick-s-choral-society" TargetMode="External"/><Relationship Id="rId70" Type="http://schemas.openxmlformats.org/officeDocument/2006/relationships/hyperlink" Target="https://www.aims.ie/post/jesus-christ-superstar-as-presented-by-teacher-s-musical-society" TargetMode="External"/><Relationship Id="rId75" Type="http://schemas.openxmlformats.org/officeDocument/2006/relationships/hyperlink" Target="https://www.aims.ie/post/joseph-and-his-amazing-technicolor-dreamcoat-as-presented-by-kilmacud-musical-society" TargetMode="External"/><Relationship Id="rId83" Type="http://schemas.openxmlformats.org/officeDocument/2006/relationships/hyperlink" Target="https://www.aims.ie/post/the-wedding-singer-as-presented-by-dunboyne-musical-society" TargetMode="External"/><Relationship Id="rId88" Type="http://schemas.openxmlformats.org/officeDocument/2006/relationships/hyperlink" Target="https://www.aims.ie/post/cry-baby-as-presented-by-roscrea-musical-society" TargetMode="External"/><Relationship Id="rId91" Type="http://schemas.openxmlformats.org/officeDocument/2006/relationships/hyperlink" Target="https://www.aims.ie/post/shrek-as-presented-by-avonmore-musical-society" TargetMode="External"/><Relationship Id="rId1" Type="http://schemas.openxmlformats.org/officeDocument/2006/relationships/hyperlink" Target="https://www.aims.ie/post/review-spring-awakening----north-wexford-musical-theatre" TargetMode="External"/><Relationship Id="rId6" Type="http://schemas.openxmlformats.org/officeDocument/2006/relationships/hyperlink" Target="https://www.aims.ie/post/rock-of-ages-as-presented-by-newry-youth-performing-arts" TargetMode="External"/><Relationship Id="rId15" Type="http://schemas.openxmlformats.org/officeDocument/2006/relationships/hyperlink" Target="https://www.aims.ie/post/guys-and-dolls-as-presented-by-newcastle-glees-ms" TargetMode="External"/><Relationship Id="rId23" Type="http://schemas.openxmlformats.org/officeDocument/2006/relationships/hyperlink" Target="https://www.aims.ie/post/the-wedding-singer-as-presented-by-north-east-musical-dramatic-society" TargetMode="External"/><Relationship Id="rId28" Type="http://schemas.openxmlformats.org/officeDocument/2006/relationships/hyperlink" Target="https://www.aims.ie/post/the-wedding-singer-as-presented-by-cecilian-musical-society" TargetMode="External"/><Relationship Id="rId36" Type="http://schemas.openxmlformats.org/officeDocument/2006/relationships/hyperlink" Target="https://www.aims.ie/post/made-in-dagenham-as-presented-by-kill-musical-dramatic-society" TargetMode="External"/><Relationship Id="rId49" Type="http://schemas.openxmlformats.org/officeDocument/2006/relationships/hyperlink" Target="https://www.aims.ie/post/9-to-5-as-presented-by-queen-s-musical-theatre-society" TargetMode="External"/><Relationship Id="rId57" Type="http://schemas.openxmlformats.org/officeDocument/2006/relationships/hyperlink" Target="https://www.aims.ie/post/made-in-dagenham-as-presented-by-nenagh-choral-society" TargetMode="External"/><Relationship Id="rId10" Type="http://schemas.openxmlformats.org/officeDocument/2006/relationships/hyperlink" Target="https://www.aims.ie/post/frozen-jr-as-presented-by-bosco-drama-group" TargetMode="External"/><Relationship Id="rId31" Type="http://schemas.openxmlformats.org/officeDocument/2006/relationships/hyperlink" Target="https://www.aims.ie/post/beauty-and-the-beast-as-presented-by-carnew-musical-society" TargetMode="External"/><Relationship Id="rId44" Type="http://schemas.openxmlformats.org/officeDocument/2006/relationships/hyperlink" Target="https://www.aims.ie/post/me-and-my-girl-as-presented-by-aghada-musical-society" TargetMode="External"/><Relationship Id="rId52" Type="http://schemas.openxmlformats.org/officeDocument/2006/relationships/hyperlink" Target="https://www.aims.ie/post/evita-as-presented-by-killarney-musical-society" TargetMode="External"/><Relationship Id="rId60" Type="http://schemas.openxmlformats.org/officeDocument/2006/relationships/hyperlink" Target="https://www.aims.ie/post/all-shook-up-as-performed-by-glencullen-dundrum-musical-and-dramatic-society" TargetMode="External"/><Relationship Id="rId65" Type="http://schemas.openxmlformats.org/officeDocument/2006/relationships/hyperlink" Target="https://www.aims.ie/post/sweet-charity-as-presented-by-clara-musical-society" TargetMode="External"/><Relationship Id="rId73" Type="http://schemas.openxmlformats.org/officeDocument/2006/relationships/hyperlink" Target="https://www.aims.ie/post/legally-blonde-as-presented-by-midas" TargetMode="External"/><Relationship Id="rId78" Type="http://schemas.openxmlformats.org/officeDocument/2006/relationships/hyperlink" Target="https://www.aims.ie/post/sister-act-as-presented-by-banbridge-ms" TargetMode="External"/><Relationship Id="rId81" Type="http://schemas.openxmlformats.org/officeDocument/2006/relationships/hyperlink" Target="https://www.aims.ie/post/the-witches-of-eastwick-as-presented-by-newbridge-musical-theatre" TargetMode="External"/><Relationship Id="rId86" Type="http://schemas.openxmlformats.org/officeDocument/2006/relationships/hyperlink" Target="https://www.aims.ie/post/sweeney-todd-as-presented-by-pop-up-theatre" TargetMode="External"/><Relationship Id="rId4" Type="http://schemas.openxmlformats.org/officeDocument/2006/relationships/hyperlink" Target="https://www.aims.ie/post/forever-plaid-as-presented-by-muse-productions" TargetMode="External"/><Relationship Id="rId9" Type="http://schemas.openxmlformats.org/officeDocument/2006/relationships/hyperlink" Target="https://www.aims.ie/post/legally-blonde-as-presented-by-ulster-operatic-company" TargetMode="External"/><Relationship Id="rId13" Type="http://schemas.openxmlformats.org/officeDocument/2006/relationships/hyperlink" Target="https://www.aims.ie/post/beauty-the-beast-as-presented-by-marian-choral-society" TargetMode="External"/><Relationship Id="rId18" Type="http://schemas.openxmlformats.org/officeDocument/2006/relationships/hyperlink" Target="https://www.aims.ie/post/guys-and-dolls-as-presented-by-portlaoise-musical-society" TargetMode="External"/><Relationship Id="rId39" Type="http://schemas.openxmlformats.org/officeDocument/2006/relationships/hyperlink" Target="https://www.aims.ie/post/rock-of-ages-as-presented-by-tipperary-ms" TargetMode="External"/><Relationship Id="rId34" Type="http://schemas.openxmlformats.org/officeDocument/2006/relationships/hyperlink" Target="https://www.aims.ie/post/grease-as-performed-by-st-brendan-s-choral-dramatic-society" TargetMode="External"/><Relationship Id="rId50" Type="http://schemas.openxmlformats.org/officeDocument/2006/relationships/hyperlink" Target="https://www.aims.ie/post/beauty-and-the-beast-as-presented-by-new-ross-musical-society" TargetMode="External"/><Relationship Id="rId55" Type="http://schemas.openxmlformats.org/officeDocument/2006/relationships/hyperlink" Target="https://www.aims.ie/post/young-frankenstein-as-presented-by-rush-musical-society" TargetMode="External"/><Relationship Id="rId76" Type="http://schemas.openxmlformats.org/officeDocument/2006/relationships/hyperlink" Target="https://www.aims.ie/post/oklahoma-as-presented-by-londonderry-musical-society" TargetMode="External"/><Relationship Id="rId7" Type="http://schemas.openxmlformats.org/officeDocument/2006/relationships/hyperlink" Target="https://www.aims.ie/post/west-side-story-as-presented-by-bravo-theatre-group" TargetMode="External"/><Relationship Id="rId71" Type="http://schemas.openxmlformats.org/officeDocument/2006/relationships/hyperlink" Target="https://www.aims.ie/post/calendar-girls-as-presented-by-north-east-musical-and-dramatic-society" TargetMode="External"/><Relationship Id="rId92" Type="http://schemas.openxmlformats.org/officeDocument/2006/relationships/hyperlink" Target="https://www.aims.ie/post/young-frankenstein-as-presented-by-wlos" TargetMode="External"/><Relationship Id="rId2" Type="http://schemas.openxmlformats.org/officeDocument/2006/relationships/hyperlink" Target="https://www.aims.ie/post/shrek-as-presented-by-fermanagh-musical-theatre" TargetMode="External"/><Relationship Id="rId29" Type="http://schemas.openxmlformats.org/officeDocument/2006/relationships/hyperlink" Target="https://www.aims.ie/post/footloose-as-presented-by-trinity-musical-theatre" TargetMode="External"/><Relationship Id="rId24" Type="http://schemas.openxmlformats.org/officeDocument/2006/relationships/hyperlink" Target="https://www.aims.ie/post/big-fish-as-presented-by-hxt-musical-society" TargetMode="External"/><Relationship Id="rId40" Type="http://schemas.openxmlformats.org/officeDocument/2006/relationships/hyperlink" Target="https://www.aims.ie/post/urinetown-as-presented-by-malahide-musical-dramatic-society" TargetMode="External"/><Relationship Id="rId45" Type="http://schemas.openxmlformats.org/officeDocument/2006/relationships/hyperlink" Target="https://www.aims.ie/post/jesus-christ-superstar-as-presented-by-tullamore-musical-society" TargetMode="External"/><Relationship Id="rId66" Type="http://schemas.openxmlformats.org/officeDocument/2006/relationships/hyperlink" Target="https://www.aims.ie/post/legally-blonde-as-presented-by-kilkenny-ms" TargetMode="External"/><Relationship Id="rId87" Type="http://schemas.openxmlformats.org/officeDocument/2006/relationships/hyperlink" Target="https://www.aims.ie/post/all-shook-up-as-presented-by-baldoyle-musical-society" TargetMode="External"/><Relationship Id="rId61" Type="http://schemas.openxmlformats.org/officeDocument/2006/relationships/hyperlink" Target="https://www.aims.ie/post/the-wedding-singer-as-presented-by-ucc-musical-theatre-society" TargetMode="External"/><Relationship Id="rId82" Type="http://schemas.openxmlformats.org/officeDocument/2006/relationships/hyperlink" Target="https://www.aims.ie/post/me-and-my-girl-as-presented-by-st-mel-s-musical-society" TargetMode="External"/><Relationship Id="rId19" Type="http://schemas.openxmlformats.org/officeDocument/2006/relationships/hyperlink" Target="https://www.aims.ie/post/calamity-jane-as-presented-by-st-agnes-choral-society" TargetMode="External"/><Relationship Id="rId14" Type="http://schemas.openxmlformats.org/officeDocument/2006/relationships/hyperlink" Target="https://www.aims.ie/post/beauty-the-beast-as-presented-by-dundalk-musical-society" TargetMode="External"/><Relationship Id="rId30" Type="http://schemas.openxmlformats.org/officeDocument/2006/relationships/hyperlink" Target="https://www.aims.ie/post/shrek-as-presented-by-fermoy-musical-society" TargetMode="External"/><Relationship Id="rId35" Type="http://schemas.openxmlformats.org/officeDocument/2006/relationships/hyperlink" Target="https://www.aims.ie/post/charlie-the-chocolate-factory-as-presented-by-ballywillan-drama-group" TargetMode="External"/><Relationship Id="rId56" Type="http://schemas.openxmlformats.org/officeDocument/2006/relationships/hyperlink" Target="https://www.aims.ie/post/young-frankenstein-as-presented-by-naas-musical-society" TargetMode="External"/><Relationship Id="rId77" Type="http://schemas.openxmlformats.org/officeDocument/2006/relationships/hyperlink" Target="https://www.aims.ie/post/legally-blonde-as-presented-by-bray-musical-socie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C015-EC65-4138-8CC0-89F527D6576D}">
  <dimension ref="A1:N181"/>
  <sheetViews>
    <sheetView tabSelected="1" workbookViewId="0">
      <pane ySplit="2" topLeftCell="A108" activePane="bottomLeft" state="frozen"/>
      <selection activeCell="C1" sqref="C1"/>
      <selection pane="bottomLeft" activeCell="F160" sqref="F160"/>
    </sheetView>
  </sheetViews>
  <sheetFormatPr defaultRowHeight="12.75" x14ac:dyDescent="0.2"/>
  <cols>
    <col min="1" max="1" width="5.7109375" customWidth="1"/>
    <col min="2" max="2" width="50.42578125" customWidth="1"/>
    <col min="3" max="3" width="15.28515625" customWidth="1"/>
    <col min="4" max="4" width="13.28515625" customWidth="1"/>
    <col min="5" max="5" width="11.85546875" customWidth="1"/>
    <col min="6" max="6" width="33.28515625" customWidth="1"/>
    <col min="7" max="11" width="8.7109375" customWidth="1"/>
    <col min="12" max="12" width="9.85546875" customWidth="1"/>
    <col min="13" max="13" width="41" customWidth="1"/>
    <col min="14" max="14" width="47.5703125" customWidth="1"/>
  </cols>
  <sheetData>
    <row r="1" spans="1:14" ht="26.1" customHeight="1" x14ac:dyDescent="0.2">
      <c r="A1" s="201" t="s">
        <v>767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</row>
    <row r="2" spans="1:14" ht="33.950000000000003" customHeight="1" x14ac:dyDescent="0.2">
      <c r="A2" s="193" t="s">
        <v>768</v>
      </c>
      <c r="B2" s="194" t="s">
        <v>779</v>
      </c>
      <c r="C2" s="194" t="s">
        <v>1</v>
      </c>
      <c r="D2" s="194" t="s">
        <v>638</v>
      </c>
      <c r="E2" s="194" t="s">
        <v>780</v>
      </c>
      <c r="F2" s="194" t="s">
        <v>781</v>
      </c>
      <c r="G2" s="194" t="s">
        <v>769</v>
      </c>
      <c r="H2" s="194" t="s">
        <v>770</v>
      </c>
      <c r="I2" s="194" t="s">
        <v>771</v>
      </c>
      <c r="J2" s="194" t="s">
        <v>772</v>
      </c>
      <c r="K2" s="194" t="s">
        <v>773</v>
      </c>
      <c r="L2" s="194" t="s">
        <v>774</v>
      </c>
      <c r="M2" s="194" t="s">
        <v>782</v>
      </c>
      <c r="N2" s="195" t="s">
        <v>783</v>
      </c>
    </row>
    <row r="3" spans="1:14" x14ac:dyDescent="0.2">
      <c r="A3" s="196">
        <f>ROW()-2</f>
        <v>1</v>
      </c>
      <c r="B3" s="197" t="s">
        <v>391</v>
      </c>
      <c r="C3" s="197" t="s">
        <v>25</v>
      </c>
      <c r="D3" s="197" t="s">
        <v>20</v>
      </c>
      <c r="E3" s="198" t="s">
        <v>772</v>
      </c>
      <c r="F3" s="202" t="s">
        <v>784</v>
      </c>
      <c r="G3" s="198" t="str">
        <f>IF(COUNTIF('AIMS Calendar 2324'!$C:$C,$B3)&gt;0,"Y","-")</f>
        <v>Y</v>
      </c>
      <c r="H3" s="198" t="str">
        <f>IF(COUNTIF('AIMS Season - 24_25'!$C:$C,$B3)&gt;0,"Y","-")</f>
        <v>Y</v>
      </c>
      <c r="I3" s="198" t="str">
        <f>IF(COUNTIF('AIMS Season 2526'!$C:$C,$B3)&gt;0,"Y","-")</f>
        <v>Y</v>
      </c>
      <c r="J3" s="198" t="str">
        <f>IF(COUNTIF('AIMS Season 2627'!$C:$C,$B3)&gt;0,"Y","-")</f>
        <v>Y</v>
      </c>
      <c r="K3" s="198" t="str">
        <f>IF(COUNTIF('AIMS Season 2728'!$C:$C,$B3)&gt;0,"Y","-")</f>
        <v>Y</v>
      </c>
      <c r="L3" s="198">
        <f>COUNTIF($G3:$K3,"Y")</f>
        <v>5</v>
      </c>
      <c r="M3" s="202" t="s">
        <v>848</v>
      </c>
      <c r="N3" s="203"/>
    </row>
    <row r="4" spans="1:14" x14ac:dyDescent="0.2">
      <c r="A4" s="196">
        <f t="shared" ref="A4:A67" si="0">ROW()-2</f>
        <v>2</v>
      </c>
      <c r="B4" s="197" t="s">
        <v>775</v>
      </c>
      <c r="C4" s="197" t="s">
        <v>25</v>
      </c>
      <c r="D4" s="197" t="s">
        <v>274</v>
      </c>
      <c r="E4" s="198"/>
      <c r="F4" s="202"/>
      <c r="G4" s="198" t="str">
        <f>IF(COUNTIF('AIMS Calendar 2324'!$C:$C,$B4)&gt;0,"Y","-")</f>
        <v>-</v>
      </c>
      <c r="H4" s="198" t="str">
        <f>IF(COUNTIF('AIMS Season - 24_25'!$C:$C,$B4)&gt;0,"Y","-")</f>
        <v>Y</v>
      </c>
      <c r="I4" s="198" t="str">
        <f>IF(COUNTIF('AIMS Season 2526'!$C:$C,$B4)&gt;0,"Y","-")</f>
        <v>-</v>
      </c>
      <c r="J4" s="198" t="str">
        <f>IF(COUNTIF('AIMS Season 2627'!$C:$C,$B4)&gt;0,"Y","-")</f>
        <v>Y</v>
      </c>
      <c r="K4" s="198" t="str">
        <f>IF(COUNTIF('AIMS Season 2728'!$C:$C,$B4)&gt;0,"Y","-")</f>
        <v>Y</v>
      </c>
      <c r="L4" s="198">
        <f t="shared" ref="L4:L67" si="1">COUNTIF($G4:$K4,"Y")</f>
        <v>3</v>
      </c>
      <c r="M4" s="202" t="s">
        <v>775</v>
      </c>
      <c r="N4" s="203" t="s">
        <v>849</v>
      </c>
    </row>
    <row r="5" spans="1:14" x14ac:dyDescent="0.2">
      <c r="A5" s="196">
        <f t="shared" si="0"/>
        <v>3</v>
      </c>
      <c r="B5" s="197" t="s">
        <v>160</v>
      </c>
      <c r="C5" s="197" t="s">
        <v>394</v>
      </c>
      <c r="D5" s="197" t="s">
        <v>20</v>
      </c>
      <c r="E5" s="198" t="s">
        <v>772</v>
      </c>
      <c r="F5" s="202" t="s">
        <v>785</v>
      </c>
      <c r="G5" s="198" t="str">
        <f>IF(COUNTIF('AIMS Calendar 2324'!$C:$C,$B5)&gt;0,"Y","-")</f>
        <v>Y</v>
      </c>
      <c r="H5" s="198" t="str">
        <f>IF(COUNTIF('AIMS Season - 24_25'!$C:$C,$B5)&gt;0,"Y","-")</f>
        <v>Y</v>
      </c>
      <c r="I5" s="198" t="str">
        <f>IF(COUNTIF('AIMS Season 2526'!$C:$C,$B5)&gt;0,"Y","-")</f>
        <v>Y</v>
      </c>
      <c r="J5" s="198" t="str">
        <f>IF(COUNTIF('AIMS Season 2627'!$C:$C,$B5)&gt;0,"Y","-")</f>
        <v>Y</v>
      </c>
      <c r="K5" s="198" t="str">
        <f>IF(COUNTIF('AIMS Season 2728'!$C:$C,$B5)&gt;0,"Y","-")</f>
        <v>Y</v>
      </c>
      <c r="L5" s="198">
        <f t="shared" si="1"/>
        <v>5</v>
      </c>
      <c r="M5" s="202" t="s">
        <v>160</v>
      </c>
      <c r="N5" s="203"/>
    </row>
    <row r="6" spans="1:14" x14ac:dyDescent="0.2">
      <c r="A6" s="196">
        <f t="shared" si="0"/>
        <v>4</v>
      </c>
      <c r="B6" s="197" t="s">
        <v>786</v>
      </c>
      <c r="C6" s="197" t="s">
        <v>52</v>
      </c>
      <c r="D6" s="197" t="s">
        <v>20</v>
      </c>
      <c r="E6" s="198" t="s">
        <v>772</v>
      </c>
      <c r="F6" s="202"/>
      <c r="G6" s="198" t="str">
        <f>IF(COUNTIF('AIMS Calendar 2324'!$C:$C,$B6)&gt;0,"Y","-")</f>
        <v>Y</v>
      </c>
      <c r="H6" s="198" t="str">
        <f>IF(COUNTIF('AIMS Season - 24_25'!$C:$C,$B6)&gt;0,"Y","-")</f>
        <v>Y</v>
      </c>
      <c r="I6" s="198" t="str">
        <f>IF(COUNTIF('AIMS Season 2526'!$C:$C,$B6)&gt;0,"Y","-")</f>
        <v>Y</v>
      </c>
      <c r="J6" s="198" t="str">
        <f>IF(COUNTIF('AIMS Season 2627'!$C:$C,$B6)&gt;0,"Y","-")</f>
        <v>Y</v>
      </c>
      <c r="K6" s="198" t="str">
        <f>IF(COUNTIF('AIMS Season 2728'!$C:$C,$B6)&gt;0,"Y","-")</f>
        <v>Y</v>
      </c>
      <c r="L6" s="198">
        <f t="shared" si="1"/>
        <v>5</v>
      </c>
      <c r="M6" s="202" t="s">
        <v>189</v>
      </c>
      <c r="N6" s="203"/>
    </row>
    <row r="7" spans="1:14" x14ac:dyDescent="0.2">
      <c r="A7" s="196">
        <f t="shared" si="0"/>
        <v>5</v>
      </c>
      <c r="B7" s="197" t="s">
        <v>787</v>
      </c>
      <c r="C7" s="197" t="s">
        <v>399</v>
      </c>
      <c r="D7" s="197" t="s">
        <v>20</v>
      </c>
      <c r="E7" s="198" t="s">
        <v>772</v>
      </c>
      <c r="F7" s="202" t="s">
        <v>788</v>
      </c>
      <c r="G7" s="198" t="str">
        <f>IF(COUNTIF('AIMS Calendar 2324'!$C:$C,$B7)&gt;0,"Y","-")</f>
        <v>Y</v>
      </c>
      <c r="H7" s="198" t="str">
        <f>IF(COUNTIF('AIMS Season - 24_25'!$C:$C,$B7)&gt;0,"Y","-")</f>
        <v>Y</v>
      </c>
      <c r="I7" s="198" t="str">
        <f>IF(COUNTIF('AIMS Season 2526'!$C:$C,$B7)&gt;0,"Y","-")</f>
        <v>Y</v>
      </c>
      <c r="J7" s="198" t="str">
        <f>IF(COUNTIF('AIMS Season 2627'!$C:$C,$B7)&gt;0,"Y","-")</f>
        <v>Y</v>
      </c>
      <c r="K7" s="198" t="str">
        <f>IF(COUNTIF('AIMS Season 2728'!$C:$C,$B7)&gt;0,"Y","-")</f>
        <v>Y</v>
      </c>
      <c r="L7" s="198">
        <f t="shared" si="1"/>
        <v>5</v>
      </c>
      <c r="M7" s="202" t="s">
        <v>306</v>
      </c>
      <c r="N7" s="203"/>
    </row>
    <row r="8" spans="1:14" x14ac:dyDescent="0.2">
      <c r="A8" s="196">
        <f t="shared" si="0"/>
        <v>6</v>
      </c>
      <c r="B8" s="197" t="s">
        <v>316</v>
      </c>
      <c r="C8" s="197" t="s">
        <v>43</v>
      </c>
      <c r="D8" s="197" t="s">
        <v>13</v>
      </c>
      <c r="E8" s="198" t="s">
        <v>772</v>
      </c>
      <c r="F8" s="202"/>
      <c r="G8" s="198" t="str">
        <f>IF(COUNTIF('AIMS Calendar 2324'!$C:$C,$B8)&gt;0,"Y","-")</f>
        <v>Y</v>
      </c>
      <c r="H8" s="198" t="str">
        <f>IF(COUNTIF('AIMS Season - 24_25'!$C:$C,$B8)&gt;0,"Y","-")</f>
        <v>Y</v>
      </c>
      <c r="I8" s="198" t="str">
        <f>IF(COUNTIF('AIMS Season 2526'!$C:$C,$B8)&gt;0,"Y","-")</f>
        <v>Y</v>
      </c>
      <c r="J8" s="198" t="str">
        <f>IF(COUNTIF('AIMS Season 2627'!$C:$C,$B8)&gt;0,"Y","-")</f>
        <v>Y</v>
      </c>
      <c r="K8" s="198" t="str">
        <f>IF(COUNTIF('AIMS Season 2728'!$C:$C,$B8)&gt;0,"Y","-")</f>
        <v>Y</v>
      </c>
      <c r="L8" s="198">
        <f t="shared" si="1"/>
        <v>5</v>
      </c>
      <c r="M8" s="202" t="s">
        <v>850</v>
      </c>
      <c r="N8" s="203"/>
    </row>
    <row r="9" spans="1:14" x14ac:dyDescent="0.2">
      <c r="A9" s="196">
        <f t="shared" si="0"/>
        <v>7</v>
      </c>
      <c r="B9" s="197" t="s">
        <v>789</v>
      </c>
      <c r="C9" s="197" t="s">
        <v>52</v>
      </c>
      <c r="D9" s="197" t="s">
        <v>13</v>
      </c>
      <c r="E9" s="198" t="s">
        <v>772</v>
      </c>
      <c r="F9" s="202"/>
      <c r="G9" s="198" t="str">
        <f>IF(COUNTIF('AIMS Calendar 2324'!$C:$C,$B9)&gt;0,"Y","-")</f>
        <v>Y</v>
      </c>
      <c r="H9" s="198" t="str">
        <f>IF(COUNTIF('AIMS Season - 24_25'!$C:$C,$B9)&gt;0,"Y","-")</f>
        <v>Y</v>
      </c>
      <c r="I9" s="198" t="str">
        <f>IF(COUNTIF('AIMS Season 2526'!$C:$C,$B9)&gt;0,"Y","-")</f>
        <v>Y</v>
      </c>
      <c r="J9" s="198" t="str">
        <f>IF(COUNTIF('AIMS Season 2627'!$C:$C,$B9)&gt;0,"Y","-")</f>
        <v>Y</v>
      </c>
      <c r="K9" s="198" t="str">
        <f>IF(COUNTIF('AIMS Season 2728'!$C:$C,$B9)&gt;0,"Y","-")</f>
        <v>Y</v>
      </c>
      <c r="L9" s="198">
        <f t="shared" si="1"/>
        <v>5</v>
      </c>
      <c r="M9" s="202" t="s">
        <v>851</v>
      </c>
      <c r="N9" s="203"/>
    </row>
    <row r="10" spans="1:14" x14ac:dyDescent="0.2">
      <c r="A10" s="196">
        <f t="shared" si="0"/>
        <v>8</v>
      </c>
      <c r="B10" s="197" t="s">
        <v>290</v>
      </c>
      <c r="C10" s="197" t="s">
        <v>25</v>
      </c>
      <c r="D10" s="197" t="s">
        <v>20</v>
      </c>
      <c r="E10" s="198" t="s">
        <v>772</v>
      </c>
      <c r="F10" s="202"/>
      <c r="G10" s="198" t="str">
        <f>IF(COUNTIF('AIMS Calendar 2324'!$C:$C,$B10)&gt;0,"Y","-")</f>
        <v>Y</v>
      </c>
      <c r="H10" s="198" t="str">
        <f>IF(COUNTIF('AIMS Season - 24_25'!$C:$C,$B10)&gt;0,"Y","-")</f>
        <v>Y</v>
      </c>
      <c r="I10" s="198" t="str">
        <f>IF(COUNTIF('AIMS Season 2526'!$C:$C,$B10)&gt;0,"Y","-")</f>
        <v>Y</v>
      </c>
      <c r="J10" s="198" t="str">
        <f>IF(COUNTIF('AIMS Season 2627'!$C:$C,$B10)&gt;0,"Y","-")</f>
        <v>Y</v>
      </c>
      <c r="K10" s="198" t="str">
        <f>IF(COUNTIF('AIMS Season 2728'!$C:$C,$B10)&gt;0,"Y","-")</f>
        <v>Y</v>
      </c>
      <c r="L10" s="198">
        <f t="shared" si="1"/>
        <v>5</v>
      </c>
      <c r="M10" s="202" t="s">
        <v>852</v>
      </c>
      <c r="N10" s="203"/>
    </row>
    <row r="11" spans="1:14" x14ac:dyDescent="0.2">
      <c r="A11" s="196">
        <f t="shared" si="0"/>
        <v>9</v>
      </c>
      <c r="B11" s="197" t="s">
        <v>251</v>
      </c>
      <c r="C11" s="197" t="s">
        <v>12</v>
      </c>
      <c r="D11" s="197" t="s">
        <v>13</v>
      </c>
      <c r="E11" s="198" t="s">
        <v>772</v>
      </c>
      <c r="F11" s="202"/>
      <c r="G11" s="198" t="str">
        <f>IF(COUNTIF('AIMS Calendar 2324'!$C:$C,$B11)&gt;0,"Y","-")</f>
        <v>Y</v>
      </c>
      <c r="H11" s="198" t="str">
        <f>IF(COUNTIF('AIMS Season - 24_25'!$C:$C,$B11)&gt;0,"Y","-")</f>
        <v>Y</v>
      </c>
      <c r="I11" s="198" t="str">
        <f>IF(COUNTIF('AIMS Season 2526'!$C:$C,$B11)&gt;0,"Y","-")</f>
        <v>Y</v>
      </c>
      <c r="J11" s="198" t="str">
        <f>IF(COUNTIF('AIMS Season 2627'!$C:$C,$B11)&gt;0,"Y","-")</f>
        <v>Y</v>
      </c>
      <c r="K11" s="198" t="str">
        <f>IF(COUNTIF('AIMS Season 2728'!$C:$C,$B11)&gt;0,"Y","-")</f>
        <v>Y</v>
      </c>
      <c r="L11" s="198">
        <f t="shared" si="1"/>
        <v>5</v>
      </c>
      <c r="M11" s="202" t="s">
        <v>251</v>
      </c>
      <c r="N11" s="203"/>
    </row>
    <row r="12" spans="1:14" x14ac:dyDescent="0.2">
      <c r="A12" s="196">
        <f t="shared" si="0"/>
        <v>10</v>
      </c>
      <c r="B12" s="197" t="s">
        <v>140</v>
      </c>
      <c r="C12" s="197" t="s">
        <v>12</v>
      </c>
      <c r="D12" s="197" t="s">
        <v>13</v>
      </c>
      <c r="E12" s="198" t="s">
        <v>772</v>
      </c>
      <c r="F12" s="202" t="s">
        <v>790</v>
      </c>
      <c r="G12" s="198" t="str">
        <f>IF(COUNTIF('AIMS Calendar 2324'!$C:$C,$B12)&gt;0,"Y","-")</f>
        <v>Y</v>
      </c>
      <c r="H12" s="198" t="str">
        <f>IF(COUNTIF('AIMS Season - 24_25'!$C:$C,$B12)&gt;0,"Y","-")</f>
        <v>Y</v>
      </c>
      <c r="I12" s="198" t="str">
        <f>IF(COUNTIF('AIMS Season 2526'!$C:$C,$B12)&gt;0,"Y","-")</f>
        <v>Y</v>
      </c>
      <c r="J12" s="198" t="str">
        <f>IF(COUNTIF('AIMS Season 2627'!$C:$C,$B12)&gt;0,"Y","-")</f>
        <v>Y</v>
      </c>
      <c r="K12" s="198" t="str">
        <f>IF(COUNTIF('AIMS Season 2728'!$C:$C,$B12)&gt;0,"Y","-")</f>
        <v>Y</v>
      </c>
      <c r="L12" s="198">
        <f t="shared" si="1"/>
        <v>5</v>
      </c>
      <c r="M12" s="202" t="s">
        <v>140</v>
      </c>
      <c r="N12" s="203"/>
    </row>
    <row r="13" spans="1:14" x14ac:dyDescent="0.2">
      <c r="A13" s="196">
        <f t="shared" si="0"/>
        <v>11</v>
      </c>
      <c r="B13" s="197" t="s">
        <v>385</v>
      </c>
      <c r="C13" s="197" t="s">
        <v>12</v>
      </c>
      <c r="D13" s="197" t="s">
        <v>20</v>
      </c>
      <c r="E13" s="198" t="s">
        <v>770</v>
      </c>
      <c r="F13" s="202"/>
      <c r="G13" s="198" t="str">
        <f>IF(COUNTIF('AIMS Calendar 2324'!$C:$C,$B13)&gt;0,"Y","-")</f>
        <v>Y</v>
      </c>
      <c r="H13" s="198" t="str">
        <f>IF(COUNTIF('AIMS Season - 24_25'!$C:$C,$B13)&gt;0,"Y","-")</f>
        <v>Y</v>
      </c>
      <c r="I13" s="198" t="str">
        <f>IF(COUNTIF('AIMS Season 2526'!$C:$C,$B13)&gt;0,"Y","-")</f>
        <v>-</v>
      </c>
      <c r="J13" s="198" t="str">
        <f>IF(COUNTIF('AIMS Season 2627'!$C:$C,$B13)&gt;0,"Y","-")</f>
        <v>-</v>
      </c>
      <c r="K13" s="198" t="str">
        <f>IF(COUNTIF('AIMS Season 2728'!$C:$C,$B13)&gt;0,"Y","-")</f>
        <v>Y</v>
      </c>
      <c r="L13" s="198">
        <f t="shared" si="1"/>
        <v>3</v>
      </c>
      <c r="M13" s="202" t="s">
        <v>385</v>
      </c>
      <c r="N13" s="203"/>
    </row>
    <row r="14" spans="1:14" x14ac:dyDescent="0.2">
      <c r="A14" s="196">
        <f t="shared" si="0"/>
        <v>12</v>
      </c>
      <c r="B14" s="197" t="s">
        <v>256</v>
      </c>
      <c r="C14" s="197" t="s">
        <v>12</v>
      </c>
      <c r="D14" s="197" t="s">
        <v>20</v>
      </c>
      <c r="E14" s="198" t="s">
        <v>772</v>
      </c>
      <c r="F14" s="202"/>
      <c r="G14" s="198" t="str">
        <f>IF(COUNTIF('AIMS Calendar 2324'!$C:$C,$B14)&gt;0,"Y","-")</f>
        <v>Y</v>
      </c>
      <c r="H14" s="198" t="str">
        <f>IF(COUNTIF('AIMS Season - 24_25'!$C:$C,$B14)&gt;0,"Y","-")</f>
        <v>Y</v>
      </c>
      <c r="I14" s="198" t="str">
        <f>IF(COUNTIF('AIMS Season 2526'!$C:$C,$B14)&gt;0,"Y","-")</f>
        <v>Y</v>
      </c>
      <c r="J14" s="198" t="str">
        <f>IF(COUNTIF('AIMS Season 2627'!$C:$C,$B14)&gt;0,"Y","-")</f>
        <v>Y</v>
      </c>
      <c r="K14" s="198" t="str">
        <f>IF(COUNTIF('AIMS Season 2728'!$C:$C,$B14)&gt;0,"Y","-")</f>
        <v>Y</v>
      </c>
      <c r="L14" s="198">
        <f t="shared" si="1"/>
        <v>5</v>
      </c>
      <c r="M14" s="202" t="s">
        <v>853</v>
      </c>
      <c r="N14" s="203"/>
    </row>
    <row r="15" spans="1:14" x14ac:dyDescent="0.2">
      <c r="A15" s="196">
        <f t="shared" si="0"/>
        <v>13</v>
      </c>
      <c r="B15" s="197" t="s">
        <v>419</v>
      </c>
      <c r="C15" s="197" t="s">
        <v>394</v>
      </c>
      <c r="D15" s="197" t="s">
        <v>13</v>
      </c>
      <c r="E15" s="198" t="s">
        <v>772</v>
      </c>
      <c r="F15" s="202"/>
      <c r="G15" s="198" t="str">
        <f>IF(COUNTIF('AIMS Calendar 2324'!$C:$C,$B15)&gt;0,"Y","-")</f>
        <v>Y</v>
      </c>
      <c r="H15" s="198" t="str">
        <f>IF(COUNTIF('AIMS Season - 24_25'!$C:$C,$B15)&gt;0,"Y","-")</f>
        <v>Y</v>
      </c>
      <c r="I15" s="198" t="str">
        <f>IF(COUNTIF('AIMS Season 2526'!$C:$C,$B15)&gt;0,"Y","-")</f>
        <v>Y</v>
      </c>
      <c r="J15" s="198" t="str">
        <f>IF(COUNTIF('AIMS Season 2627'!$C:$C,$B15)&gt;0,"Y","-")</f>
        <v>Y</v>
      </c>
      <c r="K15" s="198" t="str">
        <f>IF(COUNTIF('AIMS Season 2728'!$C:$C,$B15)&gt;0,"Y","-")</f>
        <v>Y</v>
      </c>
      <c r="L15" s="198">
        <f t="shared" si="1"/>
        <v>5</v>
      </c>
      <c r="M15" s="202" t="s">
        <v>854</v>
      </c>
      <c r="N15" s="203"/>
    </row>
    <row r="16" spans="1:14" x14ac:dyDescent="0.2">
      <c r="A16" s="196">
        <f t="shared" si="0"/>
        <v>14</v>
      </c>
      <c r="B16" s="197" t="s">
        <v>242</v>
      </c>
      <c r="C16" s="197" t="s">
        <v>52</v>
      </c>
      <c r="D16" s="197" t="s">
        <v>13</v>
      </c>
      <c r="E16" s="198" t="s">
        <v>772</v>
      </c>
      <c r="F16" s="202"/>
      <c r="G16" s="198" t="str">
        <f>IF(COUNTIF('AIMS Calendar 2324'!$C:$C,$B16)&gt;0,"Y","-")</f>
        <v>Y</v>
      </c>
      <c r="H16" s="198" t="str">
        <f>IF(COUNTIF('AIMS Season - 24_25'!$C:$C,$B16)&gt;0,"Y","-")</f>
        <v>Y</v>
      </c>
      <c r="I16" s="198" t="str">
        <f>IF(COUNTIF('AIMS Season 2526'!$C:$C,$B16)&gt;0,"Y","-")</f>
        <v>Y</v>
      </c>
      <c r="J16" s="198" t="str">
        <f>IF(COUNTIF('AIMS Season 2627'!$C:$C,$B16)&gt;0,"Y","-")</f>
        <v>Y</v>
      </c>
      <c r="K16" s="198" t="str">
        <f>IF(COUNTIF('AIMS Season 2728'!$C:$C,$B16)&gt;0,"Y","-")</f>
        <v>Y</v>
      </c>
      <c r="L16" s="198">
        <f t="shared" si="1"/>
        <v>5</v>
      </c>
      <c r="M16" s="202" t="s">
        <v>242</v>
      </c>
      <c r="N16" s="203"/>
    </row>
    <row r="17" spans="1:14" x14ac:dyDescent="0.2">
      <c r="A17" s="196">
        <f t="shared" si="0"/>
        <v>15</v>
      </c>
      <c r="B17" s="197" t="s">
        <v>791</v>
      </c>
      <c r="C17" s="197" t="s">
        <v>12</v>
      </c>
      <c r="D17" s="197" t="s">
        <v>20</v>
      </c>
      <c r="E17" s="198" t="s">
        <v>772</v>
      </c>
      <c r="F17" s="202" t="s">
        <v>784</v>
      </c>
      <c r="G17" s="198" t="str">
        <f>IF(COUNTIF('AIMS Calendar 2324'!$C:$C,$B17)&gt;0,"Y","-")</f>
        <v>Y</v>
      </c>
      <c r="H17" s="198" t="str">
        <f>IF(COUNTIF('AIMS Season - 24_25'!$C:$C,$B17)&gt;0,"Y","-")</f>
        <v>Y</v>
      </c>
      <c r="I17" s="198" t="str">
        <f>IF(COUNTIF('AIMS Season 2526'!$C:$C,$B17)&gt;0,"Y","-")</f>
        <v>Y</v>
      </c>
      <c r="J17" s="198" t="str">
        <f>IF(COUNTIF('AIMS Season 2627'!$C:$C,$B17)&gt;0,"Y","-")</f>
        <v>Y</v>
      </c>
      <c r="K17" s="198" t="str">
        <f>IF(COUNTIF('AIMS Season 2728'!$C:$C,$B17)&gt;0,"Y","-")</f>
        <v>Y</v>
      </c>
      <c r="L17" s="198">
        <f t="shared" si="1"/>
        <v>5</v>
      </c>
      <c r="M17" s="202" t="s">
        <v>62</v>
      </c>
      <c r="N17" s="203"/>
    </row>
    <row r="18" spans="1:14" x14ac:dyDescent="0.2">
      <c r="A18" s="196">
        <f t="shared" si="0"/>
        <v>16</v>
      </c>
      <c r="B18" s="197" t="s">
        <v>112</v>
      </c>
      <c r="C18" s="197" t="s">
        <v>25</v>
      </c>
      <c r="D18" s="197" t="s">
        <v>13</v>
      </c>
      <c r="E18" s="198" t="s">
        <v>772</v>
      </c>
      <c r="F18" s="202"/>
      <c r="G18" s="198" t="str">
        <f>IF(COUNTIF('AIMS Calendar 2324'!$C:$C,$B18)&gt;0,"Y","-")</f>
        <v>Y</v>
      </c>
      <c r="H18" s="198" t="str">
        <f>IF(COUNTIF('AIMS Season - 24_25'!$C:$C,$B18)&gt;0,"Y","-")</f>
        <v>Y</v>
      </c>
      <c r="I18" s="198" t="str">
        <f>IF(COUNTIF('AIMS Season 2526'!$C:$C,$B18)&gt;0,"Y","-")</f>
        <v>Y</v>
      </c>
      <c r="J18" s="198" t="str">
        <f>IF(COUNTIF('AIMS Season 2627'!$C:$C,$B18)&gt;0,"Y","-")</f>
        <v>Y</v>
      </c>
      <c r="K18" s="198" t="str">
        <f>IF(COUNTIF('AIMS Season 2728'!$C:$C,$B18)&gt;0,"Y","-")</f>
        <v>Y</v>
      </c>
      <c r="L18" s="198">
        <f t="shared" si="1"/>
        <v>5</v>
      </c>
      <c r="M18" s="202" t="s">
        <v>855</v>
      </c>
      <c r="N18" s="203"/>
    </row>
    <row r="19" spans="1:14" x14ac:dyDescent="0.2">
      <c r="A19" s="196">
        <f t="shared" si="0"/>
        <v>17</v>
      </c>
      <c r="B19" s="197" t="s">
        <v>26</v>
      </c>
      <c r="C19" s="197" t="s">
        <v>25</v>
      </c>
      <c r="D19" s="197" t="s">
        <v>20</v>
      </c>
      <c r="E19" s="198" t="s">
        <v>772</v>
      </c>
      <c r="F19" s="202"/>
      <c r="G19" s="198" t="str">
        <f>IF(COUNTIF('AIMS Calendar 2324'!$C:$C,$B19)&gt;0,"Y","-")</f>
        <v>Y</v>
      </c>
      <c r="H19" s="198" t="str">
        <f>IF(COUNTIF('AIMS Season - 24_25'!$C:$C,$B19)&gt;0,"Y","-")</f>
        <v>Y</v>
      </c>
      <c r="I19" s="198" t="str">
        <f>IF(COUNTIF('AIMS Season 2526'!$C:$C,$B19)&gt;0,"Y","-")</f>
        <v>Y</v>
      </c>
      <c r="J19" s="198" t="str">
        <f>IF(COUNTIF('AIMS Season 2627'!$C:$C,$B19)&gt;0,"Y","-")</f>
        <v>Y</v>
      </c>
      <c r="K19" s="198" t="str">
        <f>IF(COUNTIF('AIMS Season 2728'!$C:$C,$B19)&gt;0,"Y","-")</f>
        <v>Y</v>
      </c>
      <c r="L19" s="198">
        <f t="shared" si="1"/>
        <v>5</v>
      </c>
      <c r="M19" s="202" t="s">
        <v>856</v>
      </c>
      <c r="N19" s="203"/>
    </row>
    <row r="20" spans="1:14" x14ac:dyDescent="0.2">
      <c r="A20" s="196">
        <f t="shared" si="0"/>
        <v>18</v>
      </c>
      <c r="B20" s="197" t="s">
        <v>296</v>
      </c>
      <c r="C20" s="197" t="s">
        <v>399</v>
      </c>
      <c r="D20" s="197" t="s">
        <v>13</v>
      </c>
      <c r="E20" s="198" t="s">
        <v>772</v>
      </c>
      <c r="F20" s="202"/>
      <c r="G20" s="198" t="str">
        <f>IF(COUNTIF('AIMS Calendar 2324'!$C:$C,$B20)&gt;0,"Y","-")</f>
        <v>Y</v>
      </c>
      <c r="H20" s="198" t="str">
        <f>IF(COUNTIF('AIMS Season - 24_25'!$C:$C,$B20)&gt;0,"Y","-")</f>
        <v>Y</v>
      </c>
      <c r="I20" s="198" t="str">
        <f>IF(COUNTIF('AIMS Season 2526'!$C:$C,$B20)&gt;0,"Y","-")</f>
        <v>Y</v>
      </c>
      <c r="J20" s="198" t="str">
        <f>IF(COUNTIF('AIMS Season 2627'!$C:$C,$B20)&gt;0,"Y","-")</f>
        <v>Y</v>
      </c>
      <c r="K20" s="198" t="str">
        <f>IF(COUNTIF('AIMS Season 2728'!$C:$C,$B20)&gt;0,"Y","-")</f>
        <v>Y</v>
      </c>
      <c r="L20" s="198">
        <f t="shared" si="1"/>
        <v>5</v>
      </c>
      <c r="M20" s="202" t="s">
        <v>857</v>
      </c>
      <c r="N20" s="203"/>
    </row>
    <row r="21" spans="1:14" x14ac:dyDescent="0.2">
      <c r="A21" s="196">
        <f t="shared" si="0"/>
        <v>19</v>
      </c>
      <c r="B21" s="197" t="s">
        <v>792</v>
      </c>
      <c r="C21" s="197" t="s">
        <v>399</v>
      </c>
      <c r="D21" s="197" t="s">
        <v>20</v>
      </c>
      <c r="E21" s="198" t="s">
        <v>772</v>
      </c>
      <c r="F21" s="202"/>
      <c r="G21" s="198" t="str">
        <f>IF(COUNTIF('AIMS Calendar 2324'!$C:$C,$B21)&gt;0,"Y","-")</f>
        <v>Y</v>
      </c>
      <c r="H21" s="198" t="str">
        <f>IF(COUNTIF('AIMS Season - 24_25'!$C:$C,$B21)&gt;0,"Y","-")</f>
        <v>Y</v>
      </c>
      <c r="I21" s="198" t="str">
        <f>IF(COUNTIF('AIMS Season 2526'!$C:$C,$B21)&gt;0,"Y","-")</f>
        <v>Y</v>
      </c>
      <c r="J21" s="198" t="str">
        <f>IF(COUNTIF('AIMS Season 2627'!$C:$C,$B21)&gt;0,"Y","-")</f>
        <v>Y</v>
      </c>
      <c r="K21" s="198" t="str">
        <f>IF(COUNTIF('AIMS Season 2728'!$C:$C,$B21)&gt;0,"Y","-")</f>
        <v>Y</v>
      </c>
      <c r="L21" s="198">
        <f t="shared" si="1"/>
        <v>5</v>
      </c>
      <c r="M21" s="202" t="s">
        <v>130</v>
      </c>
      <c r="N21" s="203"/>
    </row>
    <row r="22" spans="1:14" x14ac:dyDescent="0.2">
      <c r="A22" s="196">
        <f t="shared" si="0"/>
        <v>20</v>
      </c>
      <c r="B22" s="197" t="s">
        <v>244</v>
      </c>
      <c r="C22" s="197" t="s">
        <v>394</v>
      </c>
      <c r="D22" s="197" t="s">
        <v>20</v>
      </c>
      <c r="E22" s="198" t="s">
        <v>772</v>
      </c>
      <c r="F22" s="202"/>
      <c r="G22" s="198" t="str">
        <f>IF(COUNTIF('AIMS Calendar 2324'!$C:$C,$B22)&gt;0,"Y","-")</f>
        <v>Y</v>
      </c>
      <c r="H22" s="198" t="str">
        <f>IF(COUNTIF('AIMS Season - 24_25'!$C:$C,$B22)&gt;0,"Y","-")</f>
        <v>Y</v>
      </c>
      <c r="I22" s="198" t="str">
        <f>IF(COUNTIF('AIMS Season 2526'!$C:$C,$B22)&gt;0,"Y","-")</f>
        <v>Y</v>
      </c>
      <c r="J22" s="198" t="str">
        <f>IF(COUNTIF('AIMS Season 2627'!$C:$C,$B22)&gt;0,"Y","-")</f>
        <v>Y</v>
      </c>
      <c r="K22" s="198" t="str">
        <f>IF(COUNTIF('AIMS Season 2728'!$C:$C,$B22)&gt;0,"Y","-")</f>
        <v>Y</v>
      </c>
      <c r="L22" s="198">
        <f t="shared" si="1"/>
        <v>5</v>
      </c>
      <c r="M22" s="202" t="s">
        <v>858</v>
      </c>
      <c r="N22" s="203"/>
    </row>
    <row r="23" spans="1:14" x14ac:dyDescent="0.2">
      <c r="A23" s="196">
        <f t="shared" si="0"/>
        <v>21</v>
      </c>
      <c r="B23" s="197" t="s">
        <v>378</v>
      </c>
      <c r="C23" s="197" t="s">
        <v>394</v>
      </c>
      <c r="D23" s="197" t="s">
        <v>13</v>
      </c>
      <c r="E23" s="198" t="s">
        <v>772</v>
      </c>
      <c r="F23" s="202"/>
      <c r="G23" s="198" t="str">
        <f>IF(COUNTIF('AIMS Calendar 2324'!$C:$C,$B23)&gt;0,"Y","-")</f>
        <v>-</v>
      </c>
      <c r="H23" s="198" t="str">
        <f>IF(COUNTIF('AIMS Season - 24_25'!$C:$C,$B23)&gt;0,"Y","-")</f>
        <v>Y</v>
      </c>
      <c r="I23" s="198" t="str">
        <f>IF(COUNTIF('AIMS Season 2526'!$C:$C,$B23)&gt;0,"Y","-")</f>
        <v>-</v>
      </c>
      <c r="J23" s="198" t="str">
        <f>IF(COUNTIF('AIMS Season 2627'!$C:$C,$B23)&gt;0,"Y","-")</f>
        <v>Y</v>
      </c>
      <c r="K23" s="198" t="str">
        <f>IF(COUNTIF('AIMS Season 2728'!$C:$C,$B23)&gt;0,"Y","-")</f>
        <v>Y</v>
      </c>
      <c r="L23" s="198">
        <f t="shared" si="1"/>
        <v>3</v>
      </c>
      <c r="M23" s="202" t="s">
        <v>378</v>
      </c>
      <c r="N23" s="203"/>
    </row>
    <row r="24" spans="1:14" x14ac:dyDescent="0.2">
      <c r="A24" s="196">
        <f t="shared" si="0"/>
        <v>22</v>
      </c>
      <c r="B24" s="197" t="s">
        <v>253</v>
      </c>
      <c r="C24" s="197" t="s">
        <v>25</v>
      </c>
      <c r="D24" s="197" t="s">
        <v>13</v>
      </c>
      <c r="E24" s="198" t="s">
        <v>772</v>
      </c>
      <c r="F24" s="202"/>
      <c r="G24" s="198" t="str">
        <f>IF(COUNTIF('AIMS Calendar 2324'!$C:$C,$B24)&gt;0,"Y","-")</f>
        <v>Y</v>
      </c>
      <c r="H24" s="198" t="str">
        <f>IF(COUNTIF('AIMS Season - 24_25'!$C:$C,$B24)&gt;0,"Y","-")</f>
        <v>Y</v>
      </c>
      <c r="I24" s="198" t="str">
        <f>IF(COUNTIF('AIMS Season 2526'!$C:$C,$B24)&gt;0,"Y","-")</f>
        <v>Y</v>
      </c>
      <c r="J24" s="198" t="str">
        <f>IF(COUNTIF('AIMS Season 2627'!$C:$C,$B24)&gt;0,"Y","-")</f>
        <v>Y</v>
      </c>
      <c r="K24" s="198" t="str">
        <f>IF(COUNTIF('AIMS Season 2728'!$C:$C,$B24)&gt;0,"Y","-")</f>
        <v>Y</v>
      </c>
      <c r="L24" s="198">
        <f t="shared" si="1"/>
        <v>5</v>
      </c>
      <c r="M24" s="202" t="s">
        <v>253</v>
      </c>
      <c r="N24" s="203"/>
    </row>
    <row r="25" spans="1:14" x14ac:dyDescent="0.2">
      <c r="A25" s="196">
        <f t="shared" si="0"/>
        <v>23</v>
      </c>
      <c r="B25" s="197" t="s">
        <v>239</v>
      </c>
      <c r="C25" s="197" t="s">
        <v>25</v>
      </c>
      <c r="D25" s="197" t="s">
        <v>13</v>
      </c>
      <c r="E25" s="198" t="s">
        <v>772</v>
      </c>
      <c r="F25" s="202"/>
      <c r="G25" s="198" t="str">
        <f>IF(COUNTIF('AIMS Calendar 2324'!$C:$C,$B25)&gt;0,"Y","-")</f>
        <v>Y</v>
      </c>
      <c r="H25" s="198" t="str">
        <f>IF(COUNTIF('AIMS Season - 24_25'!$C:$C,$B25)&gt;0,"Y","-")</f>
        <v>Y</v>
      </c>
      <c r="I25" s="198" t="str">
        <f>IF(COUNTIF('AIMS Season 2526'!$C:$C,$B25)&gt;0,"Y","-")</f>
        <v>Y</v>
      </c>
      <c r="J25" s="198" t="str">
        <f>IF(COUNTIF('AIMS Season 2627'!$C:$C,$B25)&gt;0,"Y","-")</f>
        <v>Y</v>
      </c>
      <c r="K25" s="198" t="str">
        <f>IF(COUNTIF('AIMS Season 2728'!$C:$C,$B25)&gt;0,"Y","-")</f>
        <v>Y</v>
      </c>
      <c r="L25" s="198">
        <f t="shared" si="1"/>
        <v>5</v>
      </c>
      <c r="M25" s="202" t="s">
        <v>859</v>
      </c>
      <c r="N25" s="203"/>
    </row>
    <row r="26" spans="1:14" x14ac:dyDescent="0.2">
      <c r="A26" s="196">
        <f t="shared" si="0"/>
        <v>24</v>
      </c>
      <c r="B26" s="197" t="s">
        <v>793</v>
      </c>
      <c r="C26" s="197" t="s">
        <v>394</v>
      </c>
      <c r="D26" s="197" t="s">
        <v>20</v>
      </c>
      <c r="E26" s="198" t="s">
        <v>772</v>
      </c>
      <c r="F26" s="202"/>
      <c r="G26" s="198" t="str">
        <f>IF(COUNTIF('AIMS Calendar 2324'!$C:$C,$B26)&gt;0,"Y","-")</f>
        <v>Y</v>
      </c>
      <c r="H26" s="198" t="str">
        <f>IF(COUNTIF('AIMS Season - 24_25'!$C:$C,$B26)&gt;0,"Y","-")</f>
        <v>Y</v>
      </c>
      <c r="I26" s="198" t="str">
        <f>IF(COUNTIF('AIMS Season 2526'!$C:$C,$B26)&gt;0,"Y","-")</f>
        <v>Y</v>
      </c>
      <c r="J26" s="198" t="str">
        <f>IF(COUNTIF('AIMS Season 2627'!$C:$C,$B26)&gt;0,"Y","-")</f>
        <v>Y</v>
      </c>
      <c r="K26" s="198" t="str">
        <f>IF(COUNTIF('AIMS Season 2728'!$C:$C,$B26)&gt;0,"Y","-")</f>
        <v>Y</v>
      </c>
      <c r="L26" s="198">
        <f t="shared" si="1"/>
        <v>5</v>
      </c>
      <c r="M26" s="202" t="s">
        <v>116</v>
      </c>
      <c r="N26" s="203"/>
    </row>
    <row r="27" spans="1:14" x14ac:dyDescent="0.2">
      <c r="A27" s="196">
        <f t="shared" si="0"/>
        <v>25</v>
      </c>
      <c r="B27" s="197" t="s">
        <v>794</v>
      </c>
      <c r="C27" s="197" t="s">
        <v>43</v>
      </c>
      <c r="D27" s="197" t="s">
        <v>13</v>
      </c>
      <c r="E27" s="198" t="s">
        <v>772</v>
      </c>
      <c r="F27" s="202" t="s">
        <v>795</v>
      </c>
      <c r="G27" s="198" t="str">
        <f>IF(COUNTIF('AIMS Calendar 2324'!$C:$C,$B27)&gt;0,"Y","-")</f>
        <v>Y</v>
      </c>
      <c r="H27" s="198" t="str">
        <f>IF(COUNTIF('AIMS Season - 24_25'!$C:$C,$B27)&gt;0,"Y","-")</f>
        <v>Y</v>
      </c>
      <c r="I27" s="198" t="str">
        <f>IF(COUNTIF('AIMS Season 2526'!$C:$C,$B27)&gt;0,"Y","-")</f>
        <v>Y</v>
      </c>
      <c r="J27" s="198" t="str">
        <f>IF(COUNTIF('AIMS Season 2627'!$C:$C,$B27)&gt;0,"Y","-")</f>
        <v>Y</v>
      </c>
      <c r="K27" s="198" t="str">
        <f>IF(COUNTIF('AIMS Season 2728'!$C:$C,$B27)&gt;0,"Y","-")</f>
        <v>Y</v>
      </c>
      <c r="L27" s="198">
        <f t="shared" si="1"/>
        <v>5</v>
      </c>
      <c r="M27" s="202" t="s">
        <v>860</v>
      </c>
      <c r="N27" s="203"/>
    </row>
    <row r="28" spans="1:14" x14ac:dyDescent="0.2">
      <c r="A28" s="196">
        <f t="shared" si="0"/>
        <v>26</v>
      </c>
      <c r="B28" s="197" t="s">
        <v>292</v>
      </c>
      <c r="C28" s="197" t="s">
        <v>52</v>
      </c>
      <c r="D28" s="197" t="s">
        <v>20</v>
      </c>
      <c r="E28" s="198" t="s">
        <v>772</v>
      </c>
      <c r="F28" s="202"/>
      <c r="G28" s="198" t="str">
        <f>IF(COUNTIF('AIMS Calendar 2324'!$C:$C,$B28)&gt;0,"Y","-")</f>
        <v>Y</v>
      </c>
      <c r="H28" s="198" t="str">
        <f>IF(COUNTIF('AIMS Season - 24_25'!$C:$C,$B28)&gt;0,"Y","-")</f>
        <v>Y</v>
      </c>
      <c r="I28" s="198" t="str">
        <f>IF(COUNTIF('AIMS Season 2526'!$C:$C,$B28)&gt;0,"Y","-")</f>
        <v>Y</v>
      </c>
      <c r="J28" s="198" t="str">
        <f>IF(COUNTIF('AIMS Season 2627'!$C:$C,$B28)&gt;0,"Y","-")</f>
        <v>Y</v>
      </c>
      <c r="K28" s="198" t="str">
        <f>IF(COUNTIF('AIMS Season 2728'!$C:$C,$B28)&gt;0,"Y","-")</f>
        <v>Y</v>
      </c>
      <c r="L28" s="198">
        <f t="shared" si="1"/>
        <v>5</v>
      </c>
      <c r="M28" s="202" t="s">
        <v>292</v>
      </c>
      <c r="N28" s="203"/>
    </row>
    <row r="29" spans="1:14" x14ac:dyDescent="0.2">
      <c r="A29" s="196">
        <f t="shared" si="0"/>
        <v>27</v>
      </c>
      <c r="B29" s="197" t="s">
        <v>144</v>
      </c>
      <c r="C29" s="197" t="s">
        <v>25</v>
      </c>
      <c r="D29" s="197" t="s">
        <v>13</v>
      </c>
      <c r="E29" s="198" t="s">
        <v>772</v>
      </c>
      <c r="F29" s="202"/>
      <c r="G29" s="198" t="str">
        <f>IF(COUNTIF('AIMS Calendar 2324'!$C:$C,$B29)&gt;0,"Y","-")</f>
        <v>Y</v>
      </c>
      <c r="H29" s="198" t="str">
        <f>IF(COUNTIF('AIMS Season - 24_25'!$C:$C,$B29)&gt;0,"Y","-")</f>
        <v>Y</v>
      </c>
      <c r="I29" s="198" t="str">
        <f>IF(COUNTIF('AIMS Season 2526'!$C:$C,$B29)&gt;0,"Y","-")</f>
        <v>Y</v>
      </c>
      <c r="J29" s="198" t="str">
        <f>IF(COUNTIF('AIMS Season 2627'!$C:$C,$B29)&gt;0,"Y","-")</f>
        <v>Y</v>
      </c>
      <c r="K29" s="198" t="str">
        <f>IF(COUNTIF('AIMS Season 2728'!$C:$C,$B29)&gt;0,"Y","-")</f>
        <v>Y</v>
      </c>
      <c r="L29" s="198">
        <f t="shared" si="1"/>
        <v>5</v>
      </c>
      <c r="M29" s="202" t="s">
        <v>861</v>
      </c>
      <c r="N29" s="203"/>
    </row>
    <row r="30" spans="1:14" x14ac:dyDescent="0.2">
      <c r="A30" s="196">
        <f t="shared" si="0"/>
        <v>28</v>
      </c>
      <c r="B30" s="197" t="s">
        <v>796</v>
      </c>
      <c r="C30" s="197" t="s">
        <v>43</v>
      </c>
      <c r="D30" s="197" t="s">
        <v>20</v>
      </c>
      <c r="E30" s="198" t="s">
        <v>772</v>
      </c>
      <c r="F30" s="202"/>
      <c r="G30" s="198" t="str">
        <f>IF(COUNTIF('AIMS Calendar 2324'!$C:$C,$B30)&gt;0,"Y","-")</f>
        <v>Y</v>
      </c>
      <c r="H30" s="198" t="str">
        <f>IF(COUNTIF('AIMS Season - 24_25'!$C:$C,$B30)&gt;0,"Y","-")</f>
        <v>Y</v>
      </c>
      <c r="I30" s="198" t="str">
        <f>IF(COUNTIF('AIMS Season 2526'!$C:$C,$B30)&gt;0,"Y","-")</f>
        <v>Y</v>
      </c>
      <c r="J30" s="198" t="str">
        <f>IF(COUNTIF('AIMS Season 2627'!$C:$C,$B30)&gt;0,"Y","-")</f>
        <v>Y</v>
      </c>
      <c r="K30" s="198" t="str">
        <f>IF(COUNTIF('AIMS Season 2728'!$C:$C,$B30)&gt;0,"Y","-")</f>
        <v>Y</v>
      </c>
      <c r="L30" s="198">
        <f t="shared" si="1"/>
        <v>5</v>
      </c>
      <c r="M30" s="202" t="s">
        <v>85</v>
      </c>
      <c r="N30" s="203"/>
    </row>
    <row r="31" spans="1:14" x14ac:dyDescent="0.2">
      <c r="A31" s="196">
        <f t="shared" si="0"/>
        <v>29</v>
      </c>
      <c r="B31" s="197" t="s">
        <v>797</v>
      </c>
      <c r="C31" s="197" t="s">
        <v>12</v>
      </c>
      <c r="D31" s="197" t="s">
        <v>13</v>
      </c>
      <c r="E31" s="198" t="s">
        <v>769</v>
      </c>
      <c r="F31" s="202"/>
      <c r="G31" s="198" t="str">
        <f>IF(COUNTIF('AIMS Calendar 2324'!$C:$C,$B31)&gt;0,"Y","-")</f>
        <v>Y</v>
      </c>
      <c r="H31" s="198" t="str">
        <f>IF(COUNTIF('AIMS Season - 24_25'!$C:$C,$B31)&gt;0,"Y","-")</f>
        <v>-</v>
      </c>
      <c r="I31" s="198" t="str">
        <f>IF(COUNTIF('AIMS Season 2526'!$C:$C,$B31)&gt;0,"Y","-")</f>
        <v>-</v>
      </c>
      <c r="J31" s="198" t="str">
        <f>IF(COUNTIF('AIMS Season 2627'!$C:$C,$B31)&gt;0,"Y","-")</f>
        <v>-</v>
      </c>
      <c r="K31" s="198" t="str">
        <f>IF(COUNTIF('AIMS Season 2728'!$C:$C,$B31)&gt;0,"Y","-")</f>
        <v>-</v>
      </c>
      <c r="L31" s="198">
        <f t="shared" si="1"/>
        <v>1</v>
      </c>
      <c r="M31" s="202" t="s">
        <v>455</v>
      </c>
      <c r="N31" s="203"/>
    </row>
    <row r="32" spans="1:14" x14ac:dyDescent="0.2">
      <c r="A32" s="196">
        <f t="shared" si="0"/>
        <v>30</v>
      </c>
      <c r="B32" s="197" t="s">
        <v>776</v>
      </c>
      <c r="C32" s="197" t="s">
        <v>394</v>
      </c>
      <c r="D32" s="197" t="s">
        <v>13</v>
      </c>
      <c r="E32" s="198" t="s">
        <v>772</v>
      </c>
      <c r="F32" s="202"/>
      <c r="G32" s="198" t="str">
        <f>IF(COUNTIF('AIMS Calendar 2324'!$C:$C,$B32)&gt;0,"Y","-")</f>
        <v>-</v>
      </c>
      <c r="H32" s="198" t="str">
        <f>IF(COUNTIF('AIMS Season - 24_25'!$C:$C,$B32)&gt;0,"Y","-")</f>
        <v>-</v>
      </c>
      <c r="I32" s="198" t="str">
        <f>IF(COUNTIF('AIMS Season 2526'!$C:$C,$B32)&gt;0,"Y","-")</f>
        <v>Y</v>
      </c>
      <c r="J32" s="198" t="str">
        <f>IF(COUNTIF('AIMS Season 2627'!$C:$C,$B32)&gt;0,"Y","-")</f>
        <v>Y</v>
      </c>
      <c r="K32" s="198" t="str">
        <f>IF(COUNTIF('AIMS Season 2728'!$C:$C,$B32)&gt;0,"Y","-")</f>
        <v>Y</v>
      </c>
      <c r="L32" s="198">
        <f t="shared" si="1"/>
        <v>3</v>
      </c>
      <c r="M32" s="202" t="s">
        <v>776</v>
      </c>
      <c r="N32" s="203"/>
    </row>
    <row r="33" spans="1:14" x14ac:dyDescent="0.2">
      <c r="A33" s="196">
        <f t="shared" si="0"/>
        <v>31</v>
      </c>
      <c r="B33" s="197" t="s">
        <v>798</v>
      </c>
      <c r="C33" s="197" t="s">
        <v>43</v>
      </c>
      <c r="D33" s="197" t="s">
        <v>13</v>
      </c>
      <c r="E33" s="198" t="s">
        <v>772</v>
      </c>
      <c r="F33" s="202"/>
      <c r="G33" s="198" t="str">
        <f>IF(COUNTIF('AIMS Calendar 2324'!$C:$C,$B33)&gt;0,"Y","-")</f>
        <v>-</v>
      </c>
      <c r="H33" s="198" t="str">
        <f>IF(COUNTIF('AIMS Season - 24_25'!$C:$C,$B33)&gt;0,"Y","-")</f>
        <v>-</v>
      </c>
      <c r="I33" s="198" t="str">
        <f>IF(COUNTIF('AIMS Season 2526'!$C:$C,$B33)&gt;0,"Y","-")</f>
        <v>-</v>
      </c>
      <c r="J33" s="198" t="str">
        <f>IF(COUNTIF('AIMS Season 2627'!$C:$C,$B33)&gt;0,"Y","-")</f>
        <v>Y</v>
      </c>
      <c r="K33" s="198" t="str">
        <f>IF(COUNTIF('AIMS Season 2728'!$C:$C,$B33)&gt;0,"Y","-")</f>
        <v>Y</v>
      </c>
      <c r="L33" s="198">
        <f t="shared" si="1"/>
        <v>2</v>
      </c>
      <c r="M33" s="202" t="s">
        <v>360</v>
      </c>
      <c r="N33" s="203"/>
    </row>
    <row r="34" spans="1:14" x14ac:dyDescent="0.2">
      <c r="A34" s="196">
        <f t="shared" si="0"/>
        <v>32</v>
      </c>
      <c r="B34" s="197" t="s">
        <v>799</v>
      </c>
      <c r="C34" s="197" t="s">
        <v>43</v>
      </c>
      <c r="D34" s="197" t="s">
        <v>13</v>
      </c>
      <c r="E34" s="198" t="s">
        <v>769</v>
      </c>
      <c r="F34" s="202"/>
      <c r="G34" s="198" t="str">
        <f>IF(COUNTIF('AIMS Calendar 2324'!$C:$C,$B34)&gt;0,"Y","-")</f>
        <v>Y</v>
      </c>
      <c r="H34" s="198" t="str">
        <f>IF(COUNTIF('AIMS Season - 24_25'!$C:$C,$B34)&gt;0,"Y","-")</f>
        <v>-</v>
      </c>
      <c r="I34" s="198" t="str">
        <f>IF(COUNTIF('AIMS Season 2526'!$C:$C,$B34)&gt;0,"Y","-")</f>
        <v>-</v>
      </c>
      <c r="J34" s="198" t="str">
        <f>IF(COUNTIF('AIMS Season 2627'!$C:$C,$B34)&gt;0,"Y","-")</f>
        <v>-</v>
      </c>
      <c r="K34" s="198" t="str">
        <f>IF(COUNTIF('AIMS Season 2728'!$C:$C,$B34)&gt;0,"Y","-")</f>
        <v>-</v>
      </c>
      <c r="L34" s="198">
        <f t="shared" si="1"/>
        <v>1</v>
      </c>
      <c r="M34" s="202" t="s">
        <v>777</v>
      </c>
      <c r="N34" s="203"/>
    </row>
    <row r="35" spans="1:14" x14ac:dyDescent="0.2">
      <c r="A35" s="196">
        <f t="shared" si="0"/>
        <v>33</v>
      </c>
      <c r="B35" s="197" t="s">
        <v>202</v>
      </c>
      <c r="C35" s="197" t="s">
        <v>43</v>
      </c>
      <c r="D35" s="197" t="s">
        <v>13</v>
      </c>
      <c r="E35" s="198" t="s">
        <v>772</v>
      </c>
      <c r="F35" s="202"/>
      <c r="G35" s="198" t="str">
        <f>IF(COUNTIF('AIMS Calendar 2324'!$C:$C,$B35)&gt;0,"Y","-")</f>
        <v>-</v>
      </c>
      <c r="H35" s="198" t="str">
        <f>IF(COUNTIF('AIMS Season - 24_25'!$C:$C,$B35)&gt;0,"Y","-")</f>
        <v>-</v>
      </c>
      <c r="I35" s="198" t="str">
        <f>IF(COUNTIF('AIMS Season 2526'!$C:$C,$B35)&gt;0,"Y","-")</f>
        <v>Y</v>
      </c>
      <c r="J35" s="198" t="str">
        <f>IF(COUNTIF('AIMS Season 2627'!$C:$C,$B35)&gt;0,"Y","-")</f>
        <v>Y</v>
      </c>
      <c r="K35" s="198" t="str">
        <f>IF(COUNTIF('AIMS Season 2728'!$C:$C,$B35)&gt;0,"Y","-")</f>
        <v>-</v>
      </c>
      <c r="L35" s="198">
        <f t="shared" si="1"/>
        <v>2</v>
      </c>
      <c r="M35" s="202" t="s">
        <v>202</v>
      </c>
      <c r="N35" s="203"/>
    </row>
    <row r="36" spans="1:14" x14ac:dyDescent="0.2">
      <c r="A36" s="196">
        <f t="shared" si="0"/>
        <v>34</v>
      </c>
      <c r="B36" s="197" t="s">
        <v>800</v>
      </c>
      <c r="C36" s="197" t="s">
        <v>43</v>
      </c>
      <c r="D36" s="197" t="s">
        <v>20</v>
      </c>
      <c r="E36" s="198" t="s">
        <v>772</v>
      </c>
      <c r="F36" s="202" t="s">
        <v>801</v>
      </c>
      <c r="G36" s="198" t="str">
        <f>IF(COUNTIF('AIMS Calendar 2324'!$C:$C,$B36)&gt;0,"Y","-")</f>
        <v>Y</v>
      </c>
      <c r="H36" s="198" t="str">
        <f>IF(COUNTIF('AIMS Season - 24_25'!$C:$C,$B36)&gt;0,"Y","-")</f>
        <v>Y</v>
      </c>
      <c r="I36" s="198" t="str">
        <f>IF(COUNTIF('AIMS Season 2526'!$C:$C,$B36)&gt;0,"Y","-")</f>
        <v>Y</v>
      </c>
      <c r="J36" s="198" t="str">
        <f>IF(COUNTIF('AIMS Season 2627'!$C:$C,$B36)&gt;0,"Y","-")</f>
        <v>Y</v>
      </c>
      <c r="K36" s="198" t="str">
        <f>IF(COUNTIF('AIMS Season 2728'!$C:$C,$B36)&gt;0,"Y","-")</f>
        <v>Y</v>
      </c>
      <c r="L36" s="198">
        <f t="shared" si="1"/>
        <v>5</v>
      </c>
      <c r="M36" s="202" t="s">
        <v>862</v>
      </c>
      <c r="N36" s="203"/>
    </row>
    <row r="37" spans="1:14" x14ac:dyDescent="0.2">
      <c r="A37" s="196">
        <f t="shared" si="0"/>
        <v>35</v>
      </c>
      <c r="B37" s="197" t="s">
        <v>802</v>
      </c>
      <c r="C37" s="197" t="s">
        <v>43</v>
      </c>
      <c r="D37" s="197" t="s">
        <v>13</v>
      </c>
      <c r="E37" s="198" t="s">
        <v>772</v>
      </c>
      <c r="F37" s="202" t="s">
        <v>803</v>
      </c>
      <c r="G37" s="198" t="str">
        <f>IF(COUNTIF('AIMS Calendar 2324'!$C:$C,$B37)&gt;0,"Y","-")</f>
        <v>Y</v>
      </c>
      <c r="H37" s="198" t="str">
        <f>IF(COUNTIF('AIMS Season - 24_25'!$C:$C,$B37)&gt;0,"Y","-")</f>
        <v>Y</v>
      </c>
      <c r="I37" s="198" t="str">
        <f>IF(COUNTIF('AIMS Season 2526'!$C:$C,$B37)&gt;0,"Y","-")</f>
        <v>Y</v>
      </c>
      <c r="J37" s="198" t="str">
        <f>IF(COUNTIF('AIMS Season 2627'!$C:$C,$B37)&gt;0,"Y","-")</f>
        <v>Y</v>
      </c>
      <c r="K37" s="198" t="str">
        <f>IF(COUNTIF('AIMS Season 2728'!$C:$C,$B37)&gt;0,"Y","-")</f>
        <v>Y</v>
      </c>
      <c r="L37" s="198">
        <f t="shared" si="1"/>
        <v>5</v>
      </c>
      <c r="M37" s="202" t="s">
        <v>300</v>
      </c>
      <c r="N37" s="203"/>
    </row>
    <row r="38" spans="1:14" x14ac:dyDescent="0.2">
      <c r="A38" s="196">
        <f t="shared" si="0"/>
        <v>36</v>
      </c>
      <c r="B38" s="197" t="s">
        <v>44</v>
      </c>
      <c r="C38" s="197" t="s">
        <v>43</v>
      </c>
      <c r="D38" s="197" t="s">
        <v>13</v>
      </c>
      <c r="E38" s="198" t="s">
        <v>772</v>
      </c>
      <c r="F38" s="202"/>
      <c r="G38" s="198" t="str">
        <f>IF(COUNTIF('AIMS Calendar 2324'!$C:$C,$B38)&gt;0,"Y","-")</f>
        <v>Y</v>
      </c>
      <c r="H38" s="198" t="str">
        <f>IF(COUNTIF('AIMS Season - 24_25'!$C:$C,$B38)&gt;0,"Y","-")</f>
        <v>Y</v>
      </c>
      <c r="I38" s="198" t="str">
        <f>IF(COUNTIF('AIMS Season 2526'!$C:$C,$B38)&gt;0,"Y","-")</f>
        <v>Y</v>
      </c>
      <c r="J38" s="198" t="str">
        <f>IF(COUNTIF('AIMS Season 2627'!$C:$C,$B38)&gt;0,"Y","-")</f>
        <v>Y</v>
      </c>
      <c r="K38" s="198" t="str">
        <f>IF(COUNTIF('AIMS Season 2728'!$C:$C,$B38)&gt;0,"Y","-")</f>
        <v>Y</v>
      </c>
      <c r="L38" s="198">
        <f t="shared" si="1"/>
        <v>5</v>
      </c>
      <c r="M38" s="202" t="s">
        <v>44</v>
      </c>
      <c r="N38" s="203"/>
    </row>
    <row r="39" spans="1:14" x14ac:dyDescent="0.2">
      <c r="A39" s="196">
        <f t="shared" si="0"/>
        <v>37</v>
      </c>
      <c r="B39" s="197" t="s">
        <v>670</v>
      </c>
      <c r="C39" s="197" t="s">
        <v>25</v>
      </c>
      <c r="D39" s="197" t="s">
        <v>13</v>
      </c>
      <c r="E39" s="198" t="s">
        <v>770</v>
      </c>
      <c r="F39" s="202"/>
      <c r="G39" s="198" t="str">
        <f>IF(COUNTIF('AIMS Calendar 2324'!$C:$C,$B39)&gt;0,"Y","-")</f>
        <v>-</v>
      </c>
      <c r="H39" s="198" t="str">
        <f>IF(COUNTIF('AIMS Season - 24_25'!$C:$C,$B39)&gt;0,"Y","-")</f>
        <v>Y</v>
      </c>
      <c r="I39" s="198" t="str">
        <f>IF(COUNTIF('AIMS Season 2526'!$C:$C,$B39)&gt;0,"Y","-")</f>
        <v>-</v>
      </c>
      <c r="J39" s="198" t="str">
        <f>IF(COUNTIF('AIMS Season 2627'!$C:$C,$B39)&gt;0,"Y","-")</f>
        <v>-</v>
      </c>
      <c r="K39" s="198" t="str">
        <f>IF(COUNTIF('AIMS Season 2728'!$C:$C,$B39)&gt;0,"Y","-")</f>
        <v>-</v>
      </c>
      <c r="L39" s="198">
        <f t="shared" si="1"/>
        <v>1</v>
      </c>
      <c r="M39" s="202" t="s">
        <v>670</v>
      </c>
      <c r="N39" s="203"/>
    </row>
    <row r="40" spans="1:14" x14ac:dyDescent="0.2">
      <c r="A40" s="196">
        <f t="shared" si="0"/>
        <v>38</v>
      </c>
      <c r="B40" s="197" t="s">
        <v>275</v>
      </c>
      <c r="C40" s="197" t="s">
        <v>394</v>
      </c>
      <c r="D40" s="197" t="s">
        <v>274</v>
      </c>
      <c r="E40" s="198"/>
      <c r="F40" s="202"/>
      <c r="G40" s="198" t="str">
        <f>IF(COUNTIF('AIMS Calendar 2324'!$C:$C,$B40)&gt;0,"Y","-")</f>
        <v>-</v>
      </c>
      <c r="H40" s="198" t="str">
        <f>IF(COUNTIF('AIMS Season - 24_25'!$C:$C,$B40)&gt;0,"Y","-")</f>
        <v>-</v>
      </c>
      <c r="I40" s="198" t="str">
        <f>IF(COUNTIF('AIMS Season 2526'!$C:$C,$B40)&gt;0,"Y","-")</f>
        <v>Y</v>
      </c>
      <c r="J40" s="198" t="str">
        <f>IF(COUNTIF('AIMS Season 2627'!$C:$C,$B40)&gt;0,"Y","-")</f>
        <v>Y</v>
      </c>
      <c r="K40" s="198" t="str">
        <f>IF(COUNTIF('AIMS Season 2728'!$C:$C,$B40)&gt;0,"Y","-")</f>
        <v>Y</v>
      </c>
      <c r="L40" s="198">
        <f t="shared" si="1"/>
        <v>3</v>
      </c>
      <c r="M40" s="202" t="s">
        <v>275</v>
      </c>
      <c r="N40" s="203" t="s">
        <v>863</v>
      </c>
    </row>
    <row r="41" spans="1:14" x14ac:dyDescent="0.2">
      <c r="A41" s="196">
        <f t="shared" si="0"/>
        <v>39</v>
      </c>
      <c r="B41" s="197" t="s">
        <v>804</v>
      </c>
      <c r="C41" s="197" t="s">
        <v>12</v>
      </c>
      <c r="D41" s="197" t="s">
        <v>13</v>
      </c>
      <c r="E41" s="198" t="s">
        <v>769</v>
      </c>
      <c r="F41" s="202"/>
      <c r="G41" s="198" t="str">
        <f>IF(COUNTIF('AIMS Calendar 2324'!$C:$C,$B41)&gt;0,"Y","-")</f>
        <v>Y</v>
      </c>
      <c r="H41" s="198" t="str">
        <f>IF(COUNTIF('AIMS Season - 24_25'!$C:$C,$B41)&gt;0,"Y","-")</f>
        <v>-</v>
      </c>
      <c r="I41" s="198" t="str">
        <f>IF(COUNTIF('AIMS Season 2526'!$C:$C,$B41)&gt;0,"Y","-")</f>
        <v>-</v>
      </c>
      <c r="J41" s="198" t="str">
        <f>IF(COUNTIF('AIMS Season 2627'!$C:$C,$B41)&gt;0,"Y","-")</f>
        <v>-</v>
      </c>
      <c r="K41" s="198" t="str">
        <f>IF(COUNTIF('AIMS Season 2728'!$C:$C,$B41)&gt;0,"Y","-")</f>
        <v>-</v>
      </c>
      <c r="L41" s="198">
        <f t="shared" si="1"/>
        <v>1</v>
      </c>
      <c r="M41" s="202" t="s">
        <v>472</v>
      </c>
      <c r="N41" s="203"/>
    </row>
    <row r="42" spans="1:14" x14ac:dyDescent="0.2">
      <c r="A42" s="196">
        <f t="shared" si="0"/>
        <v>40</v>
      </c>
      <c r="B42" s="197" t="s">
        <v>283</v>
      </c>
      <c r="C42" s="197" t="s">
        <v>394</v>
      </c>
      <c r="D42" s="197" t="s">
        <v>20</v>
      </c>
      <c r="E42" s="198" t="s">
        <v>772</v>
      </c>
      <c r="F42" s="202"/>
      <c r="G42" s="198" t="str">
        <f>IF(COUNTIF('AIMS Calendar 2324'!$C:$C,$B42)&gt;0,"Y","-")</f>
        <v>Y</v>
      </c>
      <c r="H42" s="198" t="str">
        <f>IF(COUNTIF('AIMS Season - 24_25'!$C:$C,$B42)&gt;0,"Y","-")</f>
        <v>Y</v>
      </c>
      <c r="I42" s="198" t="str">
        <f>IF(COUNTIF('AIMS Season 2526'!$C:$C,$B42)&gt;0,"Y","-")</f>
        <v>Y</v>
      </c>
      <c r="J42" s="198" t="str">
        <f>IF(COUNTIF('AIMS Season 2627'!$C:$C,$B42)&gt;0,"Y","-")</f>
        <v>Y</v>
      </c>
      <c r="K42" s="198" t="str">
        <f>IF(COUNTIF('AIMS Season 2728'!$C:$C,$B42)&gt;0,"Y","-")</f>
        <v>Y</v>
      </c>
      <c r="L42" s="198">
        <f t="shared" si="1"/>
        <v>5</v>
      </c>
      <c r="M42" s="202" t="s">
        <v>283</v>
      </c>
      <c r="N42" s="203"/>
    </row>
    <row r="43" spans="1:14" x14ac:dyDescent="0.2">
      <c r="A43" s="196">
        <f t="shared" si="0"/>
        <v>41</v>
      </c>
      <c r="B43" s="197" t="s">
        <v>304</v>
      </c>
      <c r="C43" s="197" t="s">
        <v>399</v>
      </c>
      <c r="D43" s="197" t="s">
        <v>13</v>
      </c>
      <c r="E43" s="198" t="s">
        <v>772</v>
      </c>
      <c r="F43" s="202" t="s">
        <v>795</v>
      </c>
      <c r="G43" s="198" t="str">
        <f>IF(COUNTIF('AIMS Calendar 2324'!$C:$C,$B43)&gt;0,"Y","-")</f>
        <v>Y</v>
      </c>
      <c r="H43" s="198" t="str">
        <f>IF(COUNTIF('AIMS Season - 24_25'!$C:$C,$B43)&gt;0,"Y","-")</f>
        <v>Y</v>
      </c>
      <c r="I43" s="198" t="str">
        <f>IF(COUNTIF('AIMS Season 2526'!$C:$C,$B43)&gt;0,"Y","-")</f>
        <v>Y</v>
      </c>
      <c r="J43" s="198" t="str">
        <f>IF(COUNTIF('AIMS Season 2627'!$C:$C,$B43)&gt;0,"Y","-")</f>
        <v>Y</v>
      </c>
      <c r="K43" s="198" t="str">
        <f>IF(COUNTIF('AIMS Season 2728'!$C:$C,$B43)&gt;0,"Y","-")</f>
        <v>Y</v>
      </c>
      <c r="L43" s="198">
        <f t="shared" si="1"/>
        <v>5</v>
      </c>
      <c r="M43" s="202" t="s">
        <v>895</v>
      </c>
      <c r="N43" s="203"/>
    </row>
    <row r="44" spans="1:14" x14ac:dyDescent="0.2">
      <c r="A44" s="196">
        <f t="shared" si="0"/>
        <v>42</v>
      </c>
      <c r="B44" s="197" t="s">
        <v>379</v>
      </c>
      <c r="C44" s="197" t="s">
        <v>25</v>
      </c>
      <c r="D44" s="197" t="s">
        <v>13</v>
      </c>
      <c r="E44" s="198" t="s">
        <v>772</v>
      </c>
      <c r="F44" s="202"/>
      <c r="G44" s="198" t="str">
        <f>IF(COUNTIF('AIMS Calendar 2324'!$C:$C,$B44)&gt;0,"Y","-")</f>
        <v>Y</v>
      </c>
      <c r="H44" s="198" t="str">
        <f>IF(COUNTIF('AIMS Season - 24_25'!$C:$C,$B44)&gt;0,"Y","-")</f>
        <v>Y</v>
      </c>
      <c r="I44" s="198" t="str">
        <f>IF(COUNTIF('AIMS Season 2526'!$C:$C,$B44)&gt;0,"Y","-")</f>
        <v>-</v>
      </c>
      <c r="J44" s="198" t="str">
        <f>IF(COUNTIF('AIMS Season 2627'!$C:$C,$B44)&gt;0,"Y","-")</f>
        <v>Y</v>
      </c>
      <c r="K44" s="198" t="str">
        <f>IF(COUNTIF('AIMS Season 2728'!$C:$C,$B44)&gt;0,"Y","-")</f>
        <v>Y</v>
      </c>
      <c r="L44" s="198">
        <f t="shared" si="1"/>
        <v>4</v>
      </c>
      <c r="M44" s="202" t="s">
        <v>379</v>
      </c>
      <c r="N44" s="203"/>
    </row>
    <row r="45" spans="1:14" x14ac:dyDescent="0.2">
      <c r="A45" s="196">
        <f t="shared" si="0"/>
        <v>43</v>
      </c>
      <c r="B45" s="197" t="s">
        <v>805</v>
      </c>
      <c r="C45" s="197" t="s">
        <v>43</v>
      </c>
      <c r="D45" s="197" t="s">
        <v>20</v>
      </c>
      <c r="E45" s="198" t="s">
        <v>772</v>
      </c>
      <c r="F45" s="202"/>
      <c r="G45" s="198" t="str">
        <f>IF(COUNTIF('AIMS Calendar 2324'!$C:$C,$B45)&gt;0,"Y","-")</f>
        <v>Y</v>
      </c>
      <c r="H45" s="198" t="str">
        <f>IF(COUNTIF('AIMS Season - 24_25'!$C:$C,$B45)&gt;0,"Y","-")</f>
        <v>Y</v>
      </c>
      <c r="I45" s="198" t="str">
        <f>IF(COUNTIF('AIMS Season 2526'!$C:$C,$B45)&gt;0,"Y","-")</f>
        <v>Y</v>
      </c>
      <c r="J45" s="198" t="str">
        <f>IF(COUNTIF('AIMS Season 2627'!$C:$C,$B45)&gt;0,"Y","-")</f>
        <v>Y</v>
      </c>
      <c r="K45" s="198" t="str">
        <f>IF(COUNTIF('AIMS Season 2728'!$C:$C,$B45)&gt;0,"Y","-")</f>
        <v>Y</v>
      </c>
      <c r="L45" s="198">
        <f t="shared" si="1"/>
        <v>5</v>
      </c>
      <c r="M45" s="202" t="s">
        <v>176</v>
      </c>
      <c r="N45" s="203"/>
    </row>
    <row r="46" spans="1:14" x14ac:dyDescent="0.2">
      <c r="A46" s="196">
        <f t="shared" si="0"/>
        <v>44</v>
      </c>
      <c r="B46" s="197" t="s">
        <v>260</v>
      </c>
      <c r="C46" s="197" t="s">
        <v>12</v>
      </c>
      <c r="D46" s="197" t="s">
        <v>13</v>
      </c>
      <c r="E46" s="198" t="s">
        <v>771</v>
      </c>
      <c r="F46" s="202"/>
      <c r="G46" s="198" t="str">
        <f>IF(COUNTIF('AIMS Calendar 2324'!$C:$C,$B46)&gt;0,"Y","-")</f>
        <v>Y</v>
      </c>
      <c r="H46" s="198" t="str">
        <f>IF(COUNTIF('AIMS Season - 24_25'!$C:$C,$B46)&gt;0,"Y","-")</f>
        <v>Y</v>
      </c>
      <c r="I46" s="198" t="str">
        <f>IF(COUNTIF('AIMS Season 2526'!$C:$C,$B46)&gt;0,"Y","-")</f>
        <v>Y</v>
      </c>
      <c r="J46" s="198" t="str">
        <f>IF(COUNTIF('AIMS Season 2627'!$C:$C,$B46)&gt;0,"Y","-")</f>
        <v>Y</v>
      </c>
      <c r="K46" s="198" t="str">
        <f>IF(COUNTIF('AIMS Season 2728'!$C:$C,$B46)&gt;0,"Y","-")</f>
        <v>Y</v>
      </c>
      <c r="L46" s="198">
        <f t="shared" si="1"/>
        <v>5</v>
      </c>
      <c r="M46" s="202" t="s">
        <v>260</v>
      </c>
      <c r="N46" s="203"/>
    </row>
    <row r="47" spans="1:14" x14ac:dyDescent="0.2">
      <c r="A47" s="196">
        <f t="shared" si="0"/>
        <v>45</v>
      </c>
      <c r="B47" s="197" t="s">
        <v>264</v>
      </c>
      <c r="C47" s="197" t="s">
        <v>394</v>
      </c>
      <c r="D47" s="197" t="s">
        <v>13</v>
      </c>
      <c r="E47" s="198" t="s">
        <v>772</v>
      </c>
      <c r="F47" s="202"/>
      <c r="G47" s="198" t="str">
        <f>IF(COUNTIF('AIMS Calendar 2324'!$C:$C,$B47)&gt;0,"Y","-")</f>
        <v>-</v>
      </c>
      <c r="H47" s="198" t="str">
        <f>IF(COUNTIF('AIMS Season - 24_25'!$C:$C,$B47)&gt;0,"Y","-")</f>
        <v>Y</v>
      </c>
      <c r="I47" s="198" t="str">
        <f>IF(COUNTIF('AIMS Season 2526'!$C:$C,$B47)&gt;0,"Y","-")</f>
        <v>Y</v>
      </c>
      <c r="J47" s="198" t="str">
        <f>IF(COUNTIF('AIMS Season 2627'!$C:$C,$B47)&gt;0,"Y","-")</f>
        <v>Y</v>
      </c>
      <c r="K47" s="198" t="str">
        <f>IF(COUNTIF('AIMS Season 2728'!$C:$C,$B47)&gt;0,"Y","-")</f>
        <v>Y</v>
      </c>
      <c r="L47" s="198">
        <f t="shared" si="1"/>
        <v>4</v>
      </c>
      <c r="M47" s="202" t="s">
        <v>264</v>
      </c>
      <c r="N47" s="203"/>
    </row>
    <row r="48" spans="1:14" x14ac:dyDescent="0.2">
      <c r="A48" s="196">
        <f t="shared" si="0"/>
        <v>46</v>
      </c>
      <c r="B48" s="197" t="s">
        <v>321</v>
      </c>
      <c r="C48" s="197" t="s">
        <v>12</v>
      </c>
      <c r="D48" s="197" t="s">
        <v>13</v>
      </c>
      <c r="E48" s="198" t="s">
        <v>771</v>
      </c>
      <c r="F48" s="202"/>
      <c r="G48" s="198" t="str">
        <f>IF(COUNTIF('AIMS Calendar 2324'!$C:$C,$B48)&gt;0,"Y","-")</f>
        <v>Y</v>
      </c>
      <c r="H48" s="198" t="str">
        <f>IF(COUNTIF('AIMS Season - 24_25'!$C:$C,$B48)&gt;0,"Y","-")</f>
        <v>Y</v>
      </c>
      <c r="I48" s="198" t="str">
        <f>IF(COUNTIF('AIMS Season 2526'!$C:$C,$B48)&gt;0,"Y","-")</f>
        <v>Y</v>
      </c>
      <c r="J48" s="198" t="str">
        <f>IF(COUNTIF('AIMS Season 2627'!$C:$C,$B48)&gt;0,"Y","-")</f>
        <v>-</v>
      </c>
      <c r="K48" s="198" t="str">
        <f>IF(COUNTIF('AIMS Season 2728'!$C:$C,$B48)&gt;0,"Y","-")</f>
        <v>-</v>
      </c>
      <c r="L48" s="198">
        <f t="shared" si="1"/>
        <v>3</v>
      </c>
      <c r="M48" s="202" t="s">
        <v>864</v>
      </c>
      <c r="N48" s="203"/>
    </row>
    <row r="49" spans="1:14" x14ac:dyDescent="0.2">
      <c r="A49" s="196">
        <f t="shared" si="0"/>
        <v>47</v>
      </c>
      <c r="B49" s="197" t="s">
        <v>376</v>
      </c>
      <c r="C49" s="197" t="s">
        <v>52</v>
      </c>
      <c r="D49" s="197" t="s">
        <v>13</v>
      </c>
      <c r="E49" s="198" t="s">
        <v>769</v>
      </c>
      <c r="F49" s="202"/>
      <c r="G49" s="198" t="str">
        <f>IF(COUNTIF('AIMS Calendar 2324'!$C:$C,$B49)&gt;0,"Y","-")</f>
        <v>Y</v>
      </c>
      <c r="H49" s="198" t="str">
        <f>IF(COUNTIF('AIMS Season - 24_25'!$C:$C,$B49)&gt;0,"Y","-")</f>
        <v>-</v>
      </c>
      <c r="I49" s="198" t="str">
        <f>IF(COUNTIF('AIMS Season 2526'!$C:$C,$B49)&gt;0,"Y","-")</f>
        <v>-</v>
      </c>
      <c r="J49" s="198" t="str">
        <f>IF(COUNTIF('AIMS Season 2627'!$C:$C,$B49)&gt;0,"Y","-")</f>
        <v>Y</v>
      </c>
      <c r="K49" s="198" t="str">
        <f>IF(COUNTIF('AIMS Season 2728'!$C:$C,$B49)&gt;0,"Y","-")</f>
        <v>Y</v>
      </c>
      <c r="L49" s="198">
        <f t="shared" si="1"/>
        <v>3</v>
      </c>
      <c r="M49" s="202" t="s">
        <v>376</v>
      </c>
      <c r="N49" s="203"/>
    </row>
    <row r="50" spans="1:14" x14ac:dyDescent="0.2">
      <c r="A50" s="196">
        <f t="shared" si="0"/>
        <v>48</v>
      </c>
      <c r="B50" s="197" t="s">
        <v>309</v>
      </c>
      <c r="C50" s="197" t="s">
        <v>25</v>
      </c>
      <c r="D50" s="197" t="s">
        <v>20</v>
      </c>
      <c r="E50" s="198" t="s">
        <v>772</v>
      </c>
      <c r="F50" s="202"/>
      <c r="G50" s="198" t="str">
        <f>IF(COUNTIF('AIMS Calendar 2324'!$C:$C,$B50)&gt;0,"Y","-")</f>
        <v>Y</v>
      </c>
      <c r="H50" s="198" t="str">
        <f>IF(COUNTIF('AIMS Season - 24_25'!$C:$C,$B50)&gt;0,"Y","-")</f>
        <v>Y</v>
      </c>
      <c r="I50" s="198" t="str">
        <f>IF(COUNTIF('AIMS Season 2526'!$C:$C,$B50)&gt;0,"Y","-")</f>
        <v>Y</v>
      </c>
      <c r="J50" s="198" t="str">
        <f>IF(COUNTIF('AIMS Season 2627'!$C:$C,$B50)&gt;0,"Y","-")</f>
        <v>Y</v>
      </c>
      <c r="K50" s="198" t="str">
        <f>IF(COUNTIF('AIMS Season 2728'!$C:$C,$B50)&gt;0,"Y","-")</f>
        <v>Y</v>
      </c>
      <c r="L50" s="198">
        <f t="shared" si="1"/>
        <v>5</v>
      </c>
      <c r="M50" s="202" t="s">
        <v>896</v>
      </c>
      <c r="N50" s="203"/>
    </row>
    <row r="51" spans="1:14" x14ac:dyDescent="0.2">
      <c r="A51" s="196">
        <f t="shared" si="0"/>
        <v>49</v>
      </c>
      <c r="B51" s="197" t="s">
        <v>806</v>
      </c>
      <c r="C51" s="197" t="s">
        <v>25</v>
      </c>
      <c r="D51" s="197" t="s">
        <v>20</v>
      </c>
      <c r="E51" s="198" t="s">
        <v>772</v>
      </c>
      <c r="F51" s="202"/>
      <c r="G51" s="198" t="str">
        <f>IF(COUNTIF('AIMS Calendar 2324'!$C:$C,$B51)&gt;0,"Y","-")</f>
        <v>Y</v>
      </c>
      <c r="H51" s="198" t="str">
        <f>IF(COUNTIF('AIMS Season - 24_25'!$C:$C,$B51)&gt;0,"Y","-")</f>
        <v>Y</v>
      </c>
      <c r="I51" s="198" t="str">
        <f>IF(COUNTIF('AIMS Season 2526'!$C:$C,$B51)&gt;0,"Y","-")</f>
        <v>Y</v>
      </c>
      <c r="J51" s="198" t="str">
        <f>IF(COUNTIF('AIMS Season 2627'!$C:$C,$B51)&gt;0,"Y","-")</f>
        <v>Y</v>
      </c>
      <c r="K51" s="198" t="str">
        <f>IF(COUNTIF('AIMS Season 2728'!$C:$C,$B51)&gt;0,"Y","-")</f>
        <v>Y</v>
      </c>
      <c r="L51" s="198">
        <f t="shared" si="1"/>
        <v>5</v>
      </c>
      <c r="M51" s="202" t="s">
        <v>148</v>
      </c>
      <c r="N51" s="203"/>
    </row>
    <row r="52" spans="1:14" x14ac:dyDescent="0.2">
      <c r="A52" s="196">
        <f t="shared" si="0"/>
        <v>50</v>
      </c>
      <c r="B52" s="197" t="s">
        <v>380</v>
      </c>
      <c r="C52" s="197" t="s">
        <v>25</v>
      </c>
      <c r="D52" s="197" t="s">
        <v>13</v>
      </c>
      <c r="E52" s="198" t="s">
        <v>772</v>
      </c>
      <c r="F52" s="202"/>
      <c r="G52" s="198" t="str">
        <f>IF(COUNTIF('AIMS Calendar 2324'!$C:$C,$B52)&gt;0,"Y","-")</f>
        <v>Y</v>
      </c>
      <c r="H52" s="198" t="str">
        <f>IF(COUNTIF('AIMS Season - 24_25'!$C:$C,$B52)&gt;0,"Y","-")</f>
        <v>Y</v>
      </c>
      <c r="I52" s="198" t="str">
        <f>IF(COUNTIF('AIMS Season 2526'!$C:$C,$B52)&gt;0,"Y","-")</f>
        <v>-</v>
      </c>
      <c r="J52" s="198" t="str">
        <f>IF(COUNTIF('AIMS Season 2627'!$C:$C,$B52)&gt;0,"Y","-")</f>
        <v>Y</v>
      </c>
      <c r="K52" s="198" t="str">
        <f>IF(COUNTIF('AIMS Season 2728'!$C:$C,$B52)&gt;0,"Y","-")</f>
        <v>Y</v>
      </c>
      <c r="L52" s="198">
        <f t="shared" si="1"/>
        <v>4</v>
      </c>
      <c r="M52" s="202" t="s">
        <v>380</v>
      </c>
      <c r="N52" s="203"/>
    </row>
    <row r="53" spans="1:14" x14ac:dyDescent="0.2">
      <c r="A53" s="196">
        <f t="shared" si="0"/>
        <v>51</v>
      </c>
      <c r="B53" s="197" t="s">
        <v>807</v>
      </c>
      <c r="C53" s="197" t="s">
        <v>43</v>
      </c>
      <c r="D53" s="197" t="s">
        <v>13</v>
      </c>
      <c r="E53" s="198" t="s">
        <v>772</v>
      </c>
      <c r="F53" s="202" t="s">
        <v>795</v>
      </c>
      <c r="G53" s="198" t="str">
        <f>IF(COUNTIF('AIMS Calendar 2324'!$C:$C,$B53)&gt;0,"Y","-")</f>
        <v>Y</v>
      </c>
      <c r="H53" s="198" t="str">
        <f>IF(COUNTIF('AIMS Season - 24_25'!$C:$C,$B53)&gt;0,"Y","-")</f>
        <v>Y</v>
      </c>
      <c r="I53" s="198" t="str">
        <f>IF(COUNTIF('AIMS Season 2526'!$C:$C,$B53)&gt;0,"Y","-")</f>
        <v>Y</v>
      </c>
      <c r="J53" s="198" t="str">
        <f>IF(COUNTIF('AIMS Season 2627'!$C:$C,$B53)&gt;0,"Y","-")</f>
        <v>Y</v>
      </c>
      <c r="K53" s="198" t="str">
        <f>IF(COUNTIF('AIMS Season 2728'!$C:$C,$B53)&gt;0,"Y","-")</f>
        <v>Y</v>
      </c>
      <c r="L53" s="198">
        <f t="shared" si="1"/>
        <v>5</v>
      </c>
      <c r="M53" s="202" t="s">
        <v>897</v>
      </c>
      <c r="N53" s="203"/>
    </row>
    <row r="54" spans="1:14" x14ac:dyDescent="0.2">
      <c r="A54" s="196">
        <f t="shared" si="0"/>
        <v>52</v>
      </c>
      <c r="B54" s="197" t="s">
        <v>277</v>
      </c>
      <c r="C54" s="197" t="s">
        <v>399</v>
      </c>
      <c r="D54" s="197" t="s">
        <v>20</v>
      </c>
      <c r="E54" s="198" t="s">
        <v>772</v>
      </c>
      <c r="F54" s="202"/>
      <c r="G54" s="198" t="str">
        <f>IF(COUNTIF('AIMS Calendar 2324'!$C:$C,$B54)&gt;0,"Y","-")</f>
        <v>Y</v>
      </c>
      <c r="H54" s="198" t="str">
        <f>IF(COUNTIF('AIMS Season - 24_25'!$C:$C,$B54)&gt;0,"Y","-")</f>
        <v>Y</v>
      </c>
      <c r="I54" s="198" t="str">
        <f>IF(COUNTIF('AIMS Season 2526'!$C:$C,$B54)&gt;0,"Y","-")</f>
        <v>Y</v>
      </c>
      <c r="J54" s="198" t="str">
        <f>IF(COUNTIF('AIMS Season 2627'!$C:$C,$B54)&gt;0,"Y","-")</f>
        <v>Y</v>
      </c>
      <c r="K54" s="198" t="str">
        <f>IF(COUNTIF('AIMS Season 2728'!$C:$C,$B54)&gt;0,"Y","-")</f>
        <v>Y</v>
      </c>
      <c r="L54" s="198">
        <f t="shared" si="1"/>
        <v>5</v>
      </c>
      <c r="M54" s="202" t="s">
        <v>865</v>
      </c>
      <c r="N54" s="203"/>
    </row>
    <row r="55" spans="1:14" x14ac:dyDescent="0.2">
      <c r="A55" s="196">
        <f t="shared" si="0"/>
        <v>53</v>
      </c>
      <c r="B55" s="197" t="s">
        <v>103</v>
      </c>
      <c r="C55" s="197" t="s">
        <v>12</v>
      </c>
      <c r="D55" s="197" t="s">
        <v>13</v>
      </c>
      <c r="E55" s="198" t="s">
        <v>771</v>
      </c>
      <c r="F55" s="202"/>
      <c r="G55" s="198" t="str">
        <f>IF(COUNTIF('AIMS Calendar 2324'!$C:$C,$B55)&gt;0,"Y","-")</f>
        <v>-</v>
      </c>
      <c r="H55" s="198" t="str">
        <f>IF(COUNTIF('AIMS Season - 24_25'!$C:$C,$B55)&gt;0,"Y","-")</f>
        <v>-</v>
      </c>
      <c r="I55" s="198" t="str">
        <f>IF(COUNTIF('AIMS Season 2526'!$C:$C,$B55)&gt;0,"Y","-")</f>
        <v>Y</v>
      </c>
      <c r="J55" s="198" t="str">
        <f>IF(COUNTIF('AIMS Season 2627'!$C:$C,$B55)&gt;0,"Y","-")</f>
        <v>-</v>
      </c>
      <c r="K55" s="198" t="str">
        <f>IF(COUNTIF('AIMS Season 2728'!$C:$C,$B55)&gt;0,"Y","-")</f>
        <v>-</v>
      </c>
      <c r="L55" s="198">
        <f t="shared" si="1"/>
        <v>1</v>
      </c>
      <c r="M55" s="202" t="s">
        <v>103</v>
      </c>
      <c r="N55" s="203"/>
    </row>
    <row r="56" spans="1:14" x14ac:dyDescent="0.2">
      <c r="A56" s="196">
        <f t="shared" si="0"/>
        <v>54</v>
      </c>
      <c r="B56" s="197" t="s">
        <v>808</v>
      </c>
      <c r="C56" s="197" t="s">
        <v>43</v>
      </c>
      <c r="D56" s="197" t="s">
        <v>13</v>
      </c>
      <c r="E56" s="198" t="s">
        <v>772</v>
      </c>
      <c r="F56" s="202" t="s">
        <v>809</v>
      </c>
      <c r="G56" s="198" t="str">
        <f>IF(COUNTIF('AIMS Calendar 2324'!$C:$C,$B56)&gt;0,"Y","-")</f>
        <v>Y</v>
      </c>
      <c r="H56" s="198" t="str">
        <f>IF(COUNTIF('AIMS Season - 24_25'!$C:$C,$B56)&gt;0,"Y","-")</f>
        <v>Y</v>
      </c>
      <c r="I56" s="198" t="str">
        <f>IF(COUNTIF('AIMS Season 2526'!$C:$C,$B56)&gt;0,"Y","-")</f>
        <v>Y</v>
      </c>
      <c r="J56" s="198" t="str">
        <f>IF(COUNTIF('AIMS Season 2627'!$C:$C,$B56)&gt;0,"Y","-")</f>
        <v>Y</v>
      </c>
      <c r="K56" s="198" t="str">
        <f>IF(COUNTIF('AIMS Season 2728'!$C:$C,$B56)&gt;0,"Y","-")</f>
        <v>Y</v>
      </c>
      <c r="L56" s="198">
        <f t="shared" si="1"/>
        <v>5</v>
      </c>
      <c r="M56" s="202" t="s">
        <v>77</v>
      </c>
      <c r="N56" s="203"/>
    </row>
    <row r="57" spans="1:14" x14ac:dyDescent="0.2">
      <c r="A57" s="196">
        <f t="shared" si="0"/>
        <v>55</v>
      </c>
      <c r="B57" s="197" t="s">
        <v>21</v>
      </c>
      <c r="C57" s="197" t="s">
        <v>399</v>
      </c>
      <c r="D57" s="197" t="s">
        <v>20</v>
      </c>
      <c r="E57" s="198" t="s">
        <v>772</v>
      </c>
      <c r="F57" s="202" t="s">
        <v>784</v>
      </c>
      <c r="G57" s="198" t="str">
        <f>IF(COUNTIF('AIMS Calendar 2324'!$C:$C,$B57)&gt;0,"Y","-")</f>
        <v>Y</v>
      </c>
      <c r="H57" s="198" t="str">
        <f>IF(COUNTIF('AIMS Season - 24_25'!$C:$C,$B57)&gt;0,"Y","-")</f>
        <v>Y</v>
      </c>
      <c r="I57" s="198" t="str">
        <f>IF(COUNTIF('AIMS Season 2526'!$C:$C,$B57)&gt;0,"Y","-")</f>
        <v>Y</v>
      </c>
      <c r="J57" s="198" t="str">
        <f>IF(COUNTIF('AIMS Season 2627'!$C:$C,$B57)&gt;0,"Y","-")</f>
        <v>Y</v>
      </c>
      <c r="K57" s="198" t="str">
        <f>IF(COUNTIF('AIMS Season 2728'!$C:$C,$B57)&gt;0,"Y","-")</f>
        <v>Y</v>
      </c>
      <c r="L57" s="198">
        <f t="shared" si="1"/>
        <v>5</v>
      </c>
      <c r="M57" s="202" t="s">
        <v>866</v>
      </c>
      <c r="N57" s="203"/>
    </row>
    <row r="58" spans="1:14" x14ac:dyDescent="0.2">
      <c r="A58" s="196">
        <f t="shared" si="0"/>
        <v>56</v>
      </c>
      <c r="B58" s="197" t="s">
        <v>810</v>
      </c>
      <c r="C58" s="197" t="s">
        <v>43</v>
      </c>
      <c r="D58" s="197" t="s">
        <v>20</v>
      </c>
      <c r="E58" s="198" t="s">
        <v>772</v>
      </c>
      <c r="F58" s="202"/>
      <c r="G58" s="198" t="str">
        <f>IF(COUNTIF('AIMS Calendar 2324'!$C:$C,$B58)&gt;0,"Y","-")</f>
        <v>Y</v>
      </c>
      <c r="H58" s="198" t="str">
        <f>IF(COUNTIF('AIMS Season - 24_25'!$C:$C,$B58)&gt;0,"Y","-")</f>
        <v>Y</v>
      </c>
      <c r="I58" s="198" t="str">
        <f>IF(COUNTIF('AIMS Season 2526'!$C:$C,$B58)&gt;0,"Y","-")</f>
        <v>Y</v>
      </c>
      <c r="J58" s="198" t="str">
        <f>IF(COUNTIF('AIMS Season 2627'!$C:$C,$B58)&gt;0,"Y","-")</f>
        <v>Y</v>
      </c>
      <c r="K58" s="198" t="str">
        <f>IF(COUNTIF('AIMS Season 2728'!$C:$C,$B58)&gt;0,"Y","-")</f>
        <v>Y</v>
      </c>
      <c r="L58" s="198">
        <f t="shared" si="1"/>
        <v>5</v>
      </c>
      <c r="M58" s="202" t="s">
        <v>898</v>
      </c>
      <c r="N58" s="203"/>
    </row>
    <row r="59" spans="1:14" x14ac:dyDescent="0.2">
      <c r="A59" s="196">
        <f t="shared" si="0"/>
        <v>57</v>
      </c>
      <c r="B59" s="197" t="s">
        <v>366</v>
      </c>
      <c r="C59" s="197" t="s">
        <v>399</v>
      </c>
      <c r="D59" s="197" t="s">
        <v>20</v>
      </c>
      <c r="E59" s="198" t="s">
        <v>772</v>
      </c>
      <c r="F59" s="202"/>
      <c r="G59" s="198" t="str">
        <f>IF(COUNTIF('AIMS Calendar 2324'!$C:$C,$B59)&gt;0,"Y","-")</f>
        <v>Y</v>
      </c>
      <c r="H59" s="198" t="str">
        <f>IF(COUNTIF('AIMS Season - 24_25'!$C:$C,$B59)&gt;0,"Y","-")</f>
        <v>Y</v>
      </c>
      <c r="I59" s="198" t="str">
        <f>IF(COUNTIF('AIMS Season 2526'!$C:$C,$B59)&gt;0,"Y","-")</f>
        <v>-</v>
      </c>
      <c r="J59" s="198" t="str">
        <f>IF(COUNTIF('AIMS Season 2627'!$C:$C,$B59)&gt;0,"Y","-")</f>
        <v>Y</v>
      </c>
      <c r="K59" s="198" t="str">
        <f>IF(COUNTIF('AIMS Season 2728'!$C:$C,$B59)&gt;0,"Y","-")</f>
        <v>Y</v>
      </c>
      <c r="L59" s="198">
        <f t="shared" si="1"/>
        <v>4</v>
      </c>
      <c r="M59" s="202" t="s">
        <v>899</v>
      </c>
      <c r="N59" s="203"/>
    </row>
    <row r="60" spans="1:14" x14ac:dyDescent="0.2">
      <c r="A60" s="196">
        <f t="shared" si="0"/>
        <v>58</v>
      </c>
      <c r="B60" s="197" t="s">
        <v>368</v>
      </c>
      <c r="C60" s="197" t="s">
        <v>43</v>
      </c>
      <c r="D60" s="197" t="s">
        <v>13</v>
      </c>
      <c r="E60" s="198" t="s">
        <v>772</v>
      </c>
      <c r="F60" s="202"/>
      <c r="G60" s="198" t="str">
        <f>IF(COUNTIF('AIMS Calendar 2324'!$C:$C,$B60)&gt;0,"Y","-")</f>
        <v>-</v>
      </c>
      <c r="H60" s="198" t="str">
        <f>IF(COUNTIF('AIMS Season - 24_25'!$C:$C,$B60)&gt;0,"Y","-")</f>
        <v>Y</v>
      </c>
      <c r="I60" s="198" t="str">
        <f>IF(COUNTIF('AIMS Season 2526'!$C:$C,$B60)&gt;0,"Y","-")</f>
        <v>-</v>
      </c>
      <c r="J60" s="198" t="str">
        <f>IF(COUNTIF('AIMS Season 2627'!$C:$C,$B60)&gt;0,"Y","-")</f>
        <v>Y</v>
      </c>
      <c r="K60" s="198" t="str">
        <f>IF(COUNTIF('AIMS Season 2728'!$C:$C,$B60)&gt;0,"Y","-")</f>
        <v>Y</v>
      </c>
      <c r="L60" s="198">
        <f t="shared" si="1"/>
        <v>3</v>
      </c>
      <c r="M60" s="202" t="s">
        <v>368</v>
      </c>
      <c r="N60" s="203"/>
    </row>
    <row r="61" spans="1:14" x14ac:dyDescent="0.2">
      <c r="A61" s="196">
        <f t="shared" si="0"/>
        <v>59</v>
      </c>
      <c r="B61" s="197" t="s">
        <v>153</v>
      </c>
      <c r="C61" s="197" t="s">
        <v>394</v>
      </c>
      <c r="D61" s="197" t="s">
        <v>20</v>
      </c>
      <c r="E61" s="198" t="s">
        <v>772</v>
      </c>
      <c r="F61" s="202" t="s">
        <v>784</v>
      </c>
      <c r="G61" s="198" t="str">
        <f>IF(COUNTIF('AIMS Calendar 2324'!$C:$C,$B61)&gt;0,"Y","-")</f>
        <v>Y</v>
      </c>
      <c r="H61" s="198" t="str">
        <f>IF(COUNTIF('AIMS Season - 24_25'!$C:$C,$B61)&gt;0,"Y","-")</f>
        <v>Y</v>
      </c>
      <c r="I61" s="198" t="str">
        <f>IF(COUNTIF('AIMS Season 2526'!$C:$C,$B61)&gt;0,"Y","-")</f>
        <v>Y</v>
      </c>
      <c r="J61" s="198" t="str">
        <f>IF(COUNTIF('AIMS Season 2627'!$C:$C,$B61)&gt;0,"Y","-")</f>
        <v>Y</v>
      </c>
      <c r="K61" s="198" t="str">
        <f>IF(COUNTIF('AIMS Season 2728'!$C:$C,$B61)&gt;0,"Y","-")</f>
        <v>Y</v>
      </c>
      <c r="L61" s="198">
        <f t="shared" si="1"/>
        <v>5</v>
      </c>
      <c r="M61" s="202" t="s">
        <v>153</v>
      </c>
      <c r="N61" s="203"/>
    </row>
    <row r="62" spans="1:14" x14ac:dyDescent="0.2">
      <c r="A62" s="196">
        <f t="shared" si="0"/>
        <v>60</v>
      </c>
      <c r="B62" s="197" t="s">
        <v>311</v>
      </c>
      <c r="C62" s="197" t="s">
        <v>43</v>
      </c>
      <c r="D62" s="197" t="s">
        <v>13</v>
      </c>
      <c r="E62" s="198" t="s">
        <v>772</v>
      </c>
      <c r="F62" s="202"/>
      <c r="G62" s="198" t="str">
        <f>IF(COUNTIF('AIMS Calendar 2324'!$C:$C,$B62)&gt;0,"Y","-")</f>
        <v>Y</v>
      </c>
      <c r="H62" s="198" t="str">
        <f>IF(COUNTIF('AIMS Season - 24_25'!$C:$C,$B62)&gt;0,"Y","-")</f>
        <v>Y</v>
      </c>
      <c r="I62" s="198" t="str">
        <f>IF(COUNTIF('AIMS Season 2526'!$C:$C,$B62)&gt;0,"Y","-")</f>
        <v>Y</v>
      </c>
      <c r="J62" s="198" t="str">
        <f>IF(COUNTIF('AIMS Season 2627'!$C:$C,$B62)&gt;0,"Y","-")</f>
        <v>Y</v>
      </c>
      <c r="K62" s="198" t="str">
        <f>IF(COUNTIF('AIMS Season 2728'!$C:$C,$B62)&gt;0,"Y","-")</f>
        <v>Y</v>
      </c>
      <c r="L62" s="198">
        <f t="shared" si="1"/>
        <v>5</v>
      </c>
      <c r="M62" s="202" t="s">
        <v>900</v>
      </c>
      <c r="N62" s="203"/>
    </row>
    <row r="63" spans="1:14" x14ac:dyDescent="0.2">
      <c r="A63" s="196">
        <f t="shared" si="0"/>
        <v>61</v>
      </c>
      <c r="B63" s="197" t="s">
        <v>811</v>
      </c>
      <c r="C63" s="197" t="s">
        <v>43</v>
      </c>
      <c r="D63" s="197" t="s">
        <v>20</v>
      </c>
      <c r="E63" s="198" t="s">
        <v>772</v>
      </c>
      <c r="F63" s="202" t="s">
        <v>784</v>
      </c>
      <c r="G63" s="198" t="str">
        <f>IF(COUNTIF('AIMS Calendar 2324'!$C:$C,$B63)&gt;0,"Y","-")</f>
        <v>Y</v>
      </c>
      <c r="H63" s="198" t="str">
        <f>IF(COUNTIF('AIMS Season - 24_25'!$C:$C,$B63)&gt;0,"Y","-")</f>
        <v>Y</v>
      </c>
      <c r="I63" s="198" t="str">
        <f>IF(COUNTIF('AIMS Season 2526'!$C:$C,$B63)&gt;0,"Y","-")</f>
        <v>Y</v>
      </c>
      <c r="J63" s="198" t="str">
        <f>IF(COUNTIF('AIMS Season 2627'!$C:$C,$B63)&gt;0,"Y","-")</f>
        <v>Y</v>
      </c>
      <c r="K63" s="198" t="str">
        <f>IF(COUNTIF('AIMS Season 2728'!$C:$C,$B63)&gt;0,"Y","-")</f>
        <v>Y</v>
      </c>
      <c r="L63" s="198">
        <f t="shared" si="1"/>
        <v>5</v>
      </c>
      <c r="M63" s="202" t="s">
        <v>867</v>
      </c>
      <c r="N63" s="203"/>
    </row>
    <row r="64" spans="1:14" x14ac:dyDescent="0.2">
      <c r="A64" s="196">
        <f t="shared" si="0"/>
        <v>62</v>
      </c>
      <c r="B64" s="197" t="s">
        <v>381</v>
      </c>
      <c r="C64" s="197" t="s">
        <v>394</v>
      </c>
      <c r="D64" s="197" t="s">
        <v>13</v>
      </c>
      <c r="E64" s="198" t="s">
        <v>772</v>
      </c>
      <c r="F64" s="202"/>
      <c r="G64" s="198" t="str">
        <f>IF(COUNTIF('AIMS Calendar 2324'!$C:$C,$B64)&gt;0,"Y","-")</f>
        <v>Y</v>
      </c>
      <c r="H64" s="198" t="str">
        <f>IF(COUNTIF('AIMS Season - 24_25'!$C:$C,$B64)&gt;0,"Y","-")</f>
        <v>Y</v>
      </c>
      <c r="I64" s="198" t="str">
        <f>IF(COUNTIF('AIMS Season 2526'!$C:$C,$B64)&gt;0,"Y","-")</f>
        <v>-</v>
      </c>
      <c r="J64" s="198" t="str">
        <f>IF(COUNTIF('AIMS Season 2627'!$C:$C,$B64)&gt;0,"Y","-")</f>
        <v>Y</v>
      </c>
      <c r="K64" s="198" t="str">
        <f>IF(COUNTIF('AIMS Season 2728'!$C:$C,$B64)&gt;0,"Y","-")</f>
        <v>Y</v>
      </c>
      <c r="L64" s="198">
        <f t="shared" si="1"/>
        <v>4</v>
      </c>
      <c r="M64" s="202" t="s">
        <v>381</v>
      </c>
      <c r="N64" s="203"/>
    </row>
    <row r="65" spans="1:14" x14ac:dyDescent="0.2">
      <c r="A65" s="196">
        <f t="shared" si="0"/>
        <v>63</v>
      </c>
      <c r="B65" s="197" t="s">
        <v>812</v>
      </c>
      <c r="C65" s="197" t="s">
        <v>43</v>
      </c>
      <c r="D65" s="197" t="s">
        <v>20</v>
      </c>
      <c r="E65" s="198" t="s">
        <v>772</v>
      </c>
      <c r="F65" s="202"/>
      <c r="G65" s="198" t="str">
        <f>IF(COUNTIF('AIMS Calendar 2324'!$C:$C,$B65)&gt;0,"Y","-")</f>
        <v>Y</v>
      </c>
      <c r="H65" s="198" t="str">
        <f>IF(COUNTIF('AIMS Season - 24_25'!$C:$C,$B65)&gt;0,"Y","-")</f>
        <v>Y</v>
      </c>
      <c r="I65" s="198" t="str">
        <f>IF(COUNTIF('AIMS Season 2526'!$C:$C,$B65)&gt;0,"Y","-")</f>
        <v>Y</v>
      </c>
      <c r="J65" s="198" t="str">
        <f>IF(COUNTIF('AIMS Season 2627'!$C:$C,$B65)&gt;0,"Y","-")</f>
        <v>Y</v>
      </c>
      <c r="K65" s="198" t="str">
        <f>IF(COUNTIF('AIMS Season 2728'!$C:$C,$B65)&gt;0,"Y","-")</f>
        <v>Y</v>
      </c>
      <c r="L65" s="198">
        <f t="shared" si="1"/>
        <v>5</v>
      </c>
      <c r="M65" s="202" t="s">
        <v>317</v>
      </c>
      <c r="N65" s="203"/>
    </row>
    <row r="66" spans="1:14" x14ac:dyDescent="0.2">
      <c r="A66" s="196">
        <f t="shared" si="0"/>
        <v>64</v>
      </c>
      <c r="B66" s="197" t="s">
        <v>813</v>
      </c>
      <c r="C66" s="197" t="s">
        <v>12</v>
      </c>
      <c r="D66" s="197" t="s">
        <v>13</v>
      </c>
      <c r="E66" s="198" t="s">
        <v>772</v>
      </c>
      <c r="F66" s="202" t="s">
        <v>795</v>
      </c>
      <c r="G66" s="198" t="str">
        <f>IF(COUNTIF('AIMS Calendar 2324'!$C:$C,$B66)&gt;0,"Y","-")</f>
        <v>Y</v>
      </c>
      <c r="H66" s="198" t="str">
        <f>IF(COUNTIF('AIMS Season - 24_25'!$C:$C,$B66)&gt;0,"Y","-")</f>
        <v>Y</v>
      </c>
      <c r="I66" s="198" t="str">
        <f>IF(COUNTIF('AIMS Season 2526'!$C:$C,$B66)&gt;0,"Y","-")</f>
        <v>Y</v>
      </c>
      <c r="J66" s="198" t="str">
        <f>IF(COUNTIF('AIMS Season 2627'!$C:$C,$B66)&gt;0,"Y","-")</f>
        <v>Y</v>
      </c>
      <c r="K66" s="198" t="str">
        <f>IF(COUNTIF('AIMS Season 2728'!$C:$C,$B66)&gt;0,"Y","-")</f>
        <v>Y</v>
      </c>
      <c r="L66" s="198">
        <f t="shared" si="1"/>
        <v>5</v>
      </c>
      <c r="M66" s="202" t="s">
        <v>323</v>
      </c>
      <c r="N66" s="203"/>
    </row>
    <row r="67" spans="1:14" x14ac:dyDescent="0.2">
      <c r="A67" s="196">
        <f t="shared" si="0"/>
        <v>65</v>
      </c>
      <c r="B67" s="197" t="s">
        <v>195</v>
      </c>
      <c r="C67" s="197" t="s">
        <v>12</v>
      </c>
      <c r="D67" s="197" t="s">
        <v>13</v>
      </c>
      <c r="E67" s="198" t="s">
        <v>772</v>
      </c>
      <c r="F67" s="202"/>
      <c r="G67" s="198" t="str">
        <f>IF(COUNTIF('AIMS Calendar 2324'!$C:$C,$B67)&gt;0,"Y","-")</f>
        <v>Y</v>
      </c>
      <c r="H67" s="198" t="str">
        <f>IF(COUNTIF('AIMS Season - 24_25'!$C:$C,$B67)&gt;0,"Y","-")</f>
        <v>Y</v>
      </c>
      <c r="I67" s="198" t="str">
        <f>IF(COUNTIF('AIMS Season 2526'!$C:$C,$B67)&gt;0,"Y","-")</f>
        <v>Y</v>
      </c>
      <c r="J67" s="198" t="str">
        <f>IF(COUNTIF('AIMS Season 2627'!$C:$C,$B67)&gt;0,"Y","-")</f>
        <v>Y</v>
      </c>
      <c r="K67" s="198" t="str">
        <f>IF(COUNTIF('AIMS Season 2728'!$C:$C,$B67)&gt;0,"Y","-")</f>
        <v>Y</v>
      </c>
      <c r="L67" s="198">
        <f t="shared" si="1"/>
        <v>5</v>
      </c>
      <c r="M67" s="202" t="s">
        <v>195</v>
      </c>
      <c r="N67" s="203"/>
    </row>
    <row r="68" spans="1:14" x14ac:dyDescent="0.2">
      <c r="A68" s="196">
        <f t="shared" ref="A68:A131" si="2">ROW()-2</f>
        <v>66</v>
      </c>
      <c r="B68" s="197" t="s">
        <v>814</v>
      </c>
      <c r="C68" s="197" t="s">
        <v>394</v>
      </c>
      <c r="D68" s="197" t="s">
        <v>13</v>
      </c>
      <c r="E68" s="198" t="s">
        <v>772</v>
      </c>
      <c r="F68" s="202"/>
      <c r="G68" s="198" t="str">
        <f>IF(COUNTIF('AIMS Calendar 2324'!$C:$C,$B68)&gt;0,"Y","-")</f>
        <v>Y</v>
      </c>
      <c r="H68" s="198" t="str">
        <f>IF(COUNTIF('AIMS Season - 24_25'!$C:$C,$B68)&gt;0,"Y","-")</f>
        <v>Y</v>
      </c>
      <c r="I68" s="198" t="str">
        <f>IF(COUNTIF('AIMS Season 2526'!$C:$C,$B68)&gt;0,"Y","-")</f>
        <v>Y</v>
      </c>
      <c r="J68" s="198" t="str">
        <f>IF(COUNTIF('AIMS Season 2627'!$C:$C,$B68)&gt;0,"Y","-")</f>
        <v>Y</v>
      </c>
      <c r="K68" s="198" t="str">
        <f>IF(COUNTIF('AIMS Season 2728'!$C:$C,$B68)&gt;0,"Y","-")</f>
        <v>Y</v>
      </c>
      <c r="L68" s="198">
        <f t="shared" ref="L68:L131" si="3">COUNTIF($G68:$K68,"Y")</f>
        <v>5</v>
      </c>
      <c r="M68" s="202" t="s">
        <v>868</v>
      </c>
      <c r="N68" s="203"/>
    </row>
    <row r="69" spans="1:14" x14ac:dyDescent="0.2">
      <c r="A69" s="196">
        <f t="shared" si="2"/>
        <v>67</v>
      </c>
      <c r="B69" s="197" t="s">
        <v>218</v>
      </c>
      <c r="C69" s="197" t="s">
        <v>394</v>
      </c>
      <c r="D69" s="197" t="s">
        <v>13</v>
      </c>
      <c r="E69" s="198" t="s">
        <v>772</v>
      </c>
      <c r="F69" s="202"/>
      <c r="G69" s="198" t="str">
        <f>IF(COUNTIF('AIMS Calendar 2324'!$C:$C,$B69)&gt;0,"Y","-")</f>
        <v>Y</v>
      </c>
      <c r="H69" s="198" t="str">
        <f>IF(COUNTIF('AIMS Season - 24_25'!$C:$C,$B69)&gt;0,"Y","-")</f>
        <v>Y</v>
      </c>
      <c r="I69" s="198" t="str">
        <f>IF(COUNTIF('AIMS Season 2526'!$C:$C,$B69)&gt;0,"Y","-")</f>
        <v>Y</v>
      </c>
      <c r="J69" s="198" t="str">
        <f>IF(COUNTIF('AIMS Season 2627'!$C:$C,$B69)&gt;0,"Y","-")</f>
        <v>Y</v>
      </c>
      <c r="K69" s="198" t="str">
        <f>IF(COUNTIF('AIMS Season 2728'!$C:$C,$B69)&gt;0,"Y","-")</f>
        <v>Y</v>
      </c>
      <c r="L69" s="198">
        <f t="shared" si="3"/>
        <v>5</v>
      </c>
      <c r="M69" s="202" t="s">
        <v>901</v>
      </c>
      <c r="N69" s="203"/>
    </row>
    <row r="70" spans="1:14" x14ac:dyDescent="0.2">
      <c r="A70" s="196">
        <f t="shared" si="2"/>
        <v>68</v>
      </c>
      <c r="B70" s="197" t="s">
        <v>815</v>
      </c>
      <c r="C70" s="197" t="s">
        <v>12</v>
      </c>
      <c r="D70" s="197" t="s">
        <v>13</v>
      </c>
      <c r="E70" s="198" t="s">
        <v>772</v>
      </c>
      <c r="F70" s="202"/>
      <c r="G70" s="198" t="str">
        <f>IF(COUNTIF('AIMS Calendar 2324'!$C:$C,$B70)&gt;0,"Y","-")</f>
        <v>Y</v>
      </c>
      <c r="H70" s="198" t="str">
        <f>IF(COUNTIF('AIMS Season - 24_25'!$C:$C,$B70)&gt;0,"Y","-")</f>
        <v>-</v>
      </c>
      <c r="I70" s="198" t="str">
        <f>IF(COUNTIF('AIMS Season 2526'!$C:$C,$B70)&gt;0,"Y","-")</f>
        <v>Y</v>
      </c>
      <c r="J70" s="198" t="str">
        <f>IF(COUNTIF('AIMS Season 2627'!$C:$C,$B70)&gt;0,"Y","-")</f>
        <v>Y</v>
      </c>
      <c r="K70" s="198" t="str">
        <f>IF(COUNTIF('AIMS Season 2728'!$C:$C,$B70)&gt;0,"Y","-")</f>
        <v>-</v>
      </c>
      <c r="L70" s="198">
        <f t="shared" si="3"/>
        <v>3</v>
      </c>
      <c r="M70" s="202" t="s">
        <v>869</v>
      </c>
      <c r="N70" s="203"/>
    </row>
    <row r="71" spans="1:14" x14ac:dyDescent="0.2">
      <c r="A71" s="196">
        <f t="shared" si="2"/>
        <v>69</v>
      </c>
      <c r="B71" s="197" t="s">
        <v>198</v>
      </c>
      <c r="C71" s="197" t="s">
        <v>12</v>
      </c>
      <c r="D71" s="197" t="s">
        <v>20</v>
      </c>
      <c r="E71" s="198" t="s">
        <v>771</v>
      </c>
      <c r="F71" s="202" t="s">
        <v>816</v>
      </c>
      <c r="G71" s="198" t="str">
        <f>IF(COUNTIF('AIMS Calendar 2324'!$C:$C,$B71)&gt;0,"Y","-")</f>
        <v>Y</v>
      </c>
      <c r="H71" s="198" t="str">
        <f>IF(COUNTIF('AIMS Season - 24_25'!$C:$C,$B71)&gt;0,"Y","-")</f>
        <v>Y</v>
      </c>
      <c r="I71" s="198" t="str">
        <f>IF(COUNTIF('AIMS Season 2526'!$C:$C,$B71)&gt;0,"Y","-")</f>
        <v>Y</v>
      </c>
      <c r="J71" s="198" t="str">
        <f>IF(COUNTIF('AIMS Season 2627'!$C:$C,$B71)&gt;0,"Y","-")</f>
        <v>-</v>
      </c>
      <c r="K71" s="198" t="str">
        <f>IF(COUNTIF('AIMS Season 2728'!$C:$C,$B71)&gt;0,"Y","-")</f>
        <v>-</v>
      </c>
      <c r="L71" s="198">
        <f t="shared" si="3"/>
        <v>3</v>
      </c>
      <c r="M71" s="202" t="s">
        <v>870</v>
      </c>
      <c r="N71" s="203"/>
    </row>
    <row r="72" spans="1:14" x14ac:dyDescent="0.2">
      <c r="A72" s="196">
        <f t="shared" si="2"/>
        <v>70</v>
      </c>
      <c r="B72" s="197" t="s">
        <v>165</v>
      </c>
      <c r="C72" s="197" t="s">
        <v>43</v>
      </c>
      <c r="D72" s="197" t="s">
        <v>20</v>
      </c>
      <c r="E72" s="198" t="s">
        <v>772</v>
      </c>
      <c r="F72" s="202"/>
      <c r="G72" s="198" t="str">
        <f>IF(COUNTIF('AIMS Calendar 2324'!$C:$C,$B72)&gt;0,"Y","-")</f>
        <v>Y</v>
      </c>
      <c r="H72" s="198" t="str">
        <f>IF(COUNTIF('AIMS Season - 24_25'!$C:$C,$B72)&gt;0,"Y","-")</f>
        <v>Y</v>
      </c>
      <c r="I72" s="198" t="str">
        <f>IF(COUNTIF('AIMS Season 2526'!$C:$C,$B72)&gt;0,"Y","-")</f>
        <v>Y</v>
      </c>
      <c r="J72" s="198" t="str">
        <f>IF(COUNTIF('AIMS Season 2627'!$C:$C,$B72)&gt;0,"Y","-")</f>
        <v>Y</v>
      </c>
      <c r="K72" s="198" t="str">
        <f>IF(COUNTIF('AIMS Season 2728'!$C:$C,$B72)&gt;0,"Y","-")</f>
        <v>Y</v>
      </c>
      <c r="L72" s="198">
        <f t="shared" si="3"/>
        <v>5</v>
      </c>
      <c r="M72" s="202" t="s">
        <v>902</v>
      </c>
      <c r="N72" s="203"/>
    </row>
    <row r="73" spans="1:14" x14ac:dyDescent="0.2">
      <c r="A73" s="196">
        <f t="shared" si="2"/>
        <v>71</v>
      </c>
      <c r="B73" s="197" t="s">
        <v>817</v>
      </c>
      <c r="C73" s="197" t="s">
        <v>25</v>
      </c>
      <c r="D73" s="197" t="s">
        <v>20</v>
      </c>
      <c r="E73" s="198" t="s">
        <v>772</v>
      </c>
      <c r="F73" s="202"/>
      <c r="G73" s="198" t="str">
        <f>IF(COUNTIF('AIMS Calendar 2324'!$C:$C,$B73)&gt;0,"Y","-")</f>
        <v>Y</v>
      </c>
      <c r="H73" s="198" t="str">
        <f>IF(COUNTIF('AIMS Season - 24_25'!$C:$C,$B73)&gt;0,"Y","-")</f>
        <v>Y</v>
      </c>
      <c r="I73" s="198" t="str">
        <f>IF(COUNTIF('AIMS Season 2526'!$C:$C,$B73)&gt;0,"Y","-")</f>
        <v>Y</v>
      </c>
      <c r="J73" s="198" t="str">
        <f>IF(COUNTIF('AIMS Season 2627'!$C:$C,$B73)&gt;0,"Y","-")</f>
        <v>Y</v>
      </c>
      <c r="K73" s="198" t="str">
        <f>IF(COUNTIF('AIMS Season 2728'!$C:$C,$B73)&gt;0,"Y","-")</f>
        <v>Y</v>
      </c>
      <c r="L73" s="198">
        <f t="shared" si="3"/>
        <v>5</v>
      </c>
      <c r="M73" s="202" t="s">
        <v>871</v>
      </c>
      <c r="N73" s="203"/>
    </row>
    <row r="74" spans="1:14" x14ac:dyDescent="0.2">
      <c r="A74" s="196">
        <f t="shared" si="2"/>
        <v>72</v>
      </c>
      <c r="B74" s="197" t="s">
        <v>818</v>
      </c>
      <c r="C74" s="197" t="s">
        <v>394</v>
      </c>
      <c r="D74" s="197" t="s">
        <v>13</v>
      </c>
      <c r="E74" s="198" t="s">
        <v>772</v>
      </c>
      <c r="F74" s="202"/>
      <c r="G74" s="198" t="str">
        <f>IF(COUNTIF('AIMS Calendar 2324'!$C:$C,$B74)&gt;0,"Y","-")</f>
        <v>Y</v>
      </c>
      <c r="H74" s="198" t="str">
        <f>IF(COUNTIF('AIMS Season - 24_25'!$C:$C,$B74)&gt;0,"Y","-")</f>
        <v>Y</v>
      </c>
      <c r="I74" s="198" t="str">
        <f>IF(COUNTIF('AIMS Season 2526'!$C:$C,$B74)&gt;0,"Y","-")</f>
        <v>Y</v>
      </c>
      <c r="J74" s="198" t="str">
        <f>IF(COUNTIF('AIMS Season 2627'!$C:$C,$B74)&gt;0,"Y","-")</f>
        <v>Y</v>
      </c>
      <c r="K74" s="198" t="str">
        <f>IF(COUNTIF('AIMS Season 2728'!$C:$C,$B74)&gt;0,"Y","-")</f>
        <v>Y</v>
      </c>
      <c r="L74" s="198">
        <f t="shared" si="3"/>
        <v>5</v>
      </c>
      <c r="M74" s="202" t="s">
        <v>206</v>
      </c>
      <c r="N74" s="203"/>
    </row>
    <row r="75" spans="1:14" x14ac:dyDescent="0.2">
      <c r="A75" s="196">
        <f t="shared" si="2"/>
        <v>73</v>
      </c>
      <c r="B75" s="197" t="s">
        <v>819</v>
      </c>
      <c r="C75" s="197" t="s">
        <v>43</v>
      </c>
      <c r="D75" s="197" t="s">
        <v>20</v>
      </c>
      <c r="E75" s="198" t="s">
        <v>772</v>
      </c>
      <c r="F75" s="202"/>
      <c r="G75" s="198" t="str">
        <f>IF(COUNTIF('AIMS Calendar 2324'!$C:$C,$B75)&gt;0,"Y","-")</f>
        <v>Y</v>
      </c>
      <c r="H75" s="198" t="str">
        <f>IF(COUNTIF('AIMS Season - 24_25'!$C:$C,$B75)&gt;0,"Y","-")</f>
        <v>Y</v>
      </c>
      <c r="I75" s="198" t="str">
        <f>IF(COUNTIF('AIMS Season 2526'!$C:$C,$B75)&gt;0,"Y","-")</f>
        <v>Y</v>
      </c>
      <c r="J75" s="198" t="str">
        <f>IF(COUNTIF('AIMS Season 2627'!$C:$C,$B75)&gt;0,"Y","-")</f>
        <v>Y</v>
      </c>
      <c r="K75" s="198" t="str">
        <f>IF(COUNTIF('AIMS Season 2728'!$C:$C,$B75)&gt;0,"Y","-")</f>
        <v>Y</v>
      </c>
      <c r="L75" s="198">
        <f t="shared" si="3"/>
        <v>5</v>
      </c>
      <c r="M75" s="202" t="s">
        <v>313</v>
      </c>
      <c r="N75" s="203"/>
    </row>
    <row r="76" spans="1:14" x14ac:dyDescent="0.2">
      <c r="A76" s="196">
        <f t="shared" si="2"/>
        <v>74</v>
      </c>
      <c r="B76" s="197" t="s">
        <v>215</v>
      </c>
      <c r="C76" s="197" t="s">
        <v>394</v>
      </c>
      <c r="D76" s="197" t="s">
        <v>20</v>
      </c>
      <c r="E76" s="198" t="s">
        <v>772</v>
      </c>
      <c r="F76" s="202" t="s">
        <v>784</v>
      </c>
      <c r="G76" s="198" t="str">
        <f>IF(COUNTIF('AIMS Calendar 2324'!$C:$C,$B76)&gt;0,"Y","-")</f>
        <v>Y</v>
      </c>
      <c r="H76" s="198" t="str">
        <f>IF(COUNTIF('AIMS Season - 24_25'!$C:$C,$B76)&gt;0,"Y","-")</f>
        <v>Y</v>
      </c>
      <c r="I76" s="198" t="str">
        <f>IF(COUNTIF('AIMS Season 2526'!$C:$C,$B76)&gt;0,"Y","-")</f>
        <v>Y</v>
      </c>
      <c r="J76" s="198" t="str">
        <f>IF(COUNTIF('AIMS Season 2627'!$C:$C,$B76)&gt;0,"Y","-")</f>
        <v>Y</v>
      </c>
      <c r="K76" s="198" t="str">
        <f>IF(COUNTIF('AIMS Season 2728'!$C:$C,$B76)&gt;0,"Y","-")</f>
        <v>Y</v>
      </c>
      <c r="L76" s="198">
        <f t="shared" si="3"/>
        <v>5</v>
      </c>
      <c r="M76" s="202" t="s">
        <v>215</v>
      </c>
      <c r="N76" s="203"/>
    </row>
    <row r="77" spans="1:14" x14ac:dyDescent="0.2">
      <c r="A77" s="196">
        <f t="shared" si="2"/>
        <v>75</v>
      </c>
      <c r="B77" s="197" t="s">
        <v>67</v>
      </c>
      <c r="C77" s="197" t="s">
        <v>394</v>
      </c>
      <c r="D77" s="197" t="s">
        <v>20</v>
      </c>
      <c r="E77" s="198" t="s">
        <v>772</v>
      </c>
      <c r="F77" s="202"/>
      <c r="G77" s="198" t="str">
        <f>IF(COUNTIF('AIMS Calendar 2324'!$C:$C,$B77)&gt;0,"Y","-")</f>
        <v>-</v>
      </c>
      <c r="H77" s="198" t="str">
        <f>IF(COUNTIF('AIMS Season - 24_25'!$C:$C,$B77)&gt;0,"Y","-")</f>
        <v>Y</v>
      </c>
      <c r="I77" s="198" t="str">
        <f>IF(COUNTIF('AIMS Season 2526'!$C:$C,$B77)&gt;0,"Y","-")</f>
        <v>Y</v>
      </c>
      <c r="J77" s="198" t="str">
        <f>IF(COUNTIF('AIMS Season 2627'!$C:$C,$B77)&gt;0,"Y","-")</f>
        <v>Y</v>
      </c>
      <c r="K77" s="198" t="str">
        <f>IF(COUNTIF('AIMS Season 2728'!$C:$C,$B77)&gt;0,"Y","-")</f>
        <v>Y</v>
      </c>
      <c r="L77" s="198">
        <f t="shared" si="3"/>
        <v>4</v>
      </c>
      <c r="M77" s="202" t="s">
        <v>67</v>
      </c>
      <c r="N77" s="203"/>
    </row>
    <row r="78" spans="1:14" x14ac:dyDescent="0.2">
      <c r="A78" s="196">
        <f t="shared" si="2"/>
        <v>76</v>
      </c>
      <c r="B78" s="197" t="s">
        <v>193</v>
      </c>
      <c r="C78" s="197" t="s">
        <v>43</v>
      </c>
      <c r="D78" s="197" t="s">
        <v>13</v>
      </c>
      <c r="E78" s="198" t="s">
        <v>772</v>
      </c>
      <c r="F78" s="202"/>
      <c r="G78" s="198" t="str">
        <f>IF(COUNTIF('AIMS Calendar 2324'!$C:$C,$B78)&gt;0,"Y","-")</f>
        <v>Y</v>
      </c>
      <c r="H78" s="198" t="str">
        <f>IF(COUNTIF('AIMS Season - 24_25'!$C:$C,$B78)&gt;0,"Y","-")</f>
        <v>Y</v>
      </c>
      <c r="I78" s="198" t="str">
        <f>IF(COUNTIF('AIMS Season 2526'!$C:$C,$B78)&gt;0,"Y","-")</f>
        <v>Y</v>
      </c>
      <c r="J78" s="198" t="str">
        <f>IF(COUNTIF('AIMS Season 2627'!$C:$C,$B78)&gt;0,"Y","-")</f>
        <v>Y</v>
      </c>
      <c r="K78" s="198" t="str">
        <f>IF(COUNTIF('AIMS Season 2728'!$C:$C,$B78)&gt;0,"Y","-")</f>
        <v>Y</v>
      </c>
      <c r="L78" s="198">
        <f t="shared" si="3"/>
        <v>5</v>
      </c>
      <c r="M78" s="202" t="s">
        <v>872</v>
      </c>
      <c r="N78" s="203"/>
    </row>
    <row r="79" spans="1:14" x14ac:dyDescent="0.2">
      <c r="A79" s="196">
        <f t="shared" si="2"/>
        <v>77</v>
      </c>
      <c r="B79" s="197" t="s">
        <v>820</v>
      </c>
      <c r="C79" s="197" t="s">
        <v>394</v>
      </c>
      <c r="D79" s="197" t="s">
        <v>13</v>
      </c>
      <c r="E79" s="198" t="s">
        <v>772</v>
      </c>
      <c r="F79" s="202"/>
      <c r="G79" s="198" t="str">
        <f>IF(COUNTIF('AIMS Calendar 2324'!$C:$C,$B79)&gt;0,"Y","-")</f>
        <v>Y</v>
      </c>
      <c r="H79" s="198" t="str">
        <f>IF(COUNTIF('AIMS Season - 24_25'!$C:$C,$B79)&gt;0,"Y","-")</f>
        <v>Y</v>
      </c>
      <c r="I79" s="198" t="str">
        <f>IF(COUNTIF('AIMS Season 2526'!$C:$C,$B79)&gt;0,"Y","-")</f>
        <v>Y</v>
      </c>
      <c r="J79" s="198" t="str">
        <f>IF(COUNTIF('AIMS Season 2627'!$C:$C,$B79)&gt;0,"Y","-")</f>
        <v>Y</v>
      </c>
      <c r="K79" s="198" t="str">
        <f>IF(COUNTIF('AIMS Season 2728'!$C:$C,$B79)&gt;0,"Y","-")</f>
        <v>Y</v>
      </c>
      <c r="L79" s="198">
        <f t="shared" si="3"/>
        <v>5</v>
      </c>
      <c r="M79" s="202" t="s">
        <v>227</v>
      </c>
      <c r="N79" s="203"/>
    </row>
    <row r="80" spans="1:14" x14ac:dyDescent="0.2">
      <c r="A80" s="196">
        <f t="shared" si="2"/>
        <v>78</v>
      </c>
      <c r="B80" s="197" t="s">
        <v>261</v>
      </c>
      <c r="C80" s="197" t="s">
        <v>394</v>
      </c>
      <c r="D80" s="197" t="s">
        <v>20</v>
      </c>
      <c r="E80" s="198" t="s">
        <v>772</v>
      </c>
      <c r="F80" s="202" t="s">
        <v>784</v>
      </c>
      <c r="G80" s="198" t="str">
        <f>IF(COUNTIF('AIMS Calendar 2324'!$C:$C,$B80)&gt;0,"Y","-")</f>
        <v>Y</v>
      </c>
      <c r="H80" s="198" t="str">
        <f>IF(COUNTIF('AIMS Season - 24_25'!$C:$C,$B80)&gt;0,"Y","-")</f>
        <v>Y</v>
      </c>
      <c r="I80" s="198" t="str">
        <f>IF(COUNTIF('AIMS Season 2526'!$C:$C,$B80)&gt;0,"Y","-")</f>
        <v>Y</v>
      </c>
      <c r="J80" s="198" t="str">
        <f>IF(COUNTIF('AIMS Season 2627'!$C:$C,$B80)&gt;0,"Y","-")</f>
        <v>Y</v>
      </c>
      <c r="K80" s="198" t="str">
        <f>IF(COUNTIF('AIMS Season 2728'!$C:$C,$B80)&gt;0,"Y","-")</f>
        <v>Y</v>
      </c>
      <c r="L80" s="198">
        <f t="shared" si="3"/>
        <v>5</v>
      </c>
      <c r="M80" s="202" t="s">
        <v>261</v>
      </c>
      <c r="N80" s="203"/>
    </row>
    <row r="81" spans="1:14" x14ac:dyDescent="0.2">
      <c r="A81" s="196">
        <f t="shared" si="2"/>
        <v>79</v>
      </c>
      <c r="B81" s="197" t="s">
        <v>211</v>
      </c>
      <c r="C81" s="197" t="s">
        <v>399</v>
      </c>
      <c r="D81" s="197" t="s">
        <v>13</v>
      </c>
      <c r="E81" s="198" t="s">
        <v>772</v>
      </c>
      <c r="F81" s="202" t="s">
        <v>803</v>
      </c>
      <c r="G81" s="198" t="str">
        <f>IF(COUNTIF('AIMS Calendar 2324'!$C:$C,$B81)&gt;0,"Y","-")</f>
        <v>Y</v>
      </c>
      <c r="H81" s="198" t="str">
        <f>IF(COUNTIF('AIMS Season - 24_25'!$C:$C,$B81)&gt;0,"Y","-")</f>
        <v>Y</v>
      </c>
      <c r="I81" s="198" t="str">
        <f>IF(COUNTIF('AIMS Season 2526'!$C:$C,$B81)&gt;0,"Y","-")</f>
        <v>Y</v>
      </c>
      <c r="J81" s="198" t="str">
        <f>IF(COUNTIF('AIMS Season 2627'!$C:$C,$B81)&gt;0,"Y","-")</f>
        <v>Y</v>
      </c>
      <c r="K81" s="198" t="str">
        <f>IF(COUNTIF('AIMS Season 2728'!$C:$C,$B81)&gt;0,"Y","-")</f>
        <v>Y</v>
      </c>
      <c r="L81" s="198">
        <f t="shared" si="3"/>
        <v>5</v>
      </c>
      <c r="M81" s="202" t="s">
        <v>873</v>
      </c>
      <c r="N81" s="203"/>
    </row>
    <row r="82" spans="1:14" x14ac:dyDescent="0.2">
      <c r="A82" s="196">
        <f t="shared" si="2"/>
        <v>80</v>
      </c>
      <c r="B82" s="197" t="s">
        <v>821</v>
      </c>
      <c r="C82" s="197" t="s">
        <v>52</v>
      </c>
      <c r="D82" s="197" t="s">
        <v>20</v>
      </c>
      <c r="E82" s="198" t="s">
        <v>772</v>
      </c>
      <c r="F82" s="202" t="s">
        <v>788</v>
      </c>
      <c r="G82" s="198" t="str">
        <f>IF(COUNTIF('AIMS Calendar 2324'!$C:$C,$B82)&gt;0,"Y","-")</f>
        <v>Y</v>
      </c>
      <c r="H82" s="198" t="str">
        <f>IF(COUNTIF('AIMS Season - 24_25'!$C:$C,$B82)&gt;0,"Y","-")</f>
        <v>Y</v>
      </c>
      <c r="I82" s="198" t="str">
        <f>IF(COUNTIF('AIMS Season 2526'!$C:$C,$B82)&gt;0,"Y","-")</f>
        <v>Y</v>
      </c>
      <c r="J82" s="198" t="str">
        <f>IF(COUNTIF('AIMS Season 2627'!$C:$C,$B82)&gt;0,"Y","-")</f>
        <v>Y</v>
      </c>
      <c r="K82" s="198" t="str">
        <f>IF(COUNTIF('AIMS Season 2728'!$C:$C,$B82)&gt;0,"Y","-")</f>
        <v>Y</v>
      </c>
      <c r="L82" s="198">
        <f t="shared" si="3"/>
        <v>5</v>
      </c>
      <c r="M82" s="202" t="s">
        <v>903</v>
      </c>
      <c r="N82" s="203"/>
    </row>
    <row r="83" spans="1:14" x14ac:dyDescent="0.2">
      <c r="A83" s="196">
        <f t="shared" si="2"/>
        <v>81</v>
      </c>
      <c r="B83" s="197" t="s">
        <v>822</v>
      </c>
      <c r="C83" s="197" t="s">
        <v>12</v>
      </c>
      <c r="D83" s="197" t="s">
        <v>20</v>
      </c>
      <c r="E83" s="198" t="s">
        <v>772</v>
      </c>
      <c r="F83" s="202"/>
      <c r="G83" s="198" t="str">
        <f>IF(COUNTIF('AIMS Calendar 2324'!$C:$C,$B83)&gt;0,"Y","-")</f>
        <v>Y</v>
      </c>
      <c r="H83" s="198" t="str">
        <f>IF(COUNTIF('AIMS Season - 24_25'!$C:$C,$B83)&gt;0,"Y","-")</f>
        <v>Y</v>
      </c>
      <c r="I83" s="198" t="str">
        <f>IF(COUNTIF('AIMS Season 2526'!$C:$C,$B83)&gt;0,"Y","-")</f>
        <v>Y</v>
      </c>
      <c r="J83" s="198" t="str">
        <f>IF(COUNTIF('AIMS Season 2627'!$C:$C,$B83)&gt;0,"Y","-")</f>
        <v>Y</v>
      </c>
      <c r="K83" s="198" t="str">
        <f>IF(COUNTIF('AIMS Season 2728'!$C:$C,$B83)&gt;0,"Y","-")</f>
        <v>Y</v>
      </c>
      <c r="L83" s="198">
        <f t="shared" si="3"/>
        <v>5</v>
      </c>
      <c r="M83" s="202" t="s">
        <v>874</v>
      </c>
      <c r="N83" s="203"/>
    </row>
    <row r="84" spans="1:14" x14ac:dyDescent="0.2">
      <c r="A84" s="196">
        <f t="shared" si="2"/>
        <v>82</v>
      </c>
      <c r="B84" s="197" t="s">
        <v>823</v>
      </c>
      <c r="C84" s="197" t="s">
        <v>394</v>
      </c>
      <c r="D84" s="197" t="s">
        <v>13</v>
      </c>
      <c r="E84" s="198" t="s">
        <v>772</v>
      </c>
      <c r="F84" s="202"/>
      <c r="G84" s="198" t="str">
        <f>IF(COUNTIF('AIMS Calendar 2324'!$C:$C,$B84)&gt;0,"Y","-")</f>
        <v>Y</v>
      </c>
      <c r="H84" s="198" t="str">
        <f>IF(COUNTIF('AIMS Season - 24_25'!$C:$C,$B84)&gt;0,"Y","-")</f>
        <v>Y</v>
      </c>
      <c r="I84" s="198" t="str">
        <f>IF(COUNTIF('AIMS Season 2526'!$C:$C,$B84)&gt;0,"Y","-")</f>
        <v>Y</v>
      </c>
      <c r="J84" s="198" t="str">
        <f>IF(COUNTIF('AIMS Season 2627'!$C:$C,$B84)&gt;0,"Y","-")</f>
        <v>Y</v>
      </c>
      <c r="K84" s="198" t="str">
        <f>IF(COUNTIF('AIMS Season 2728'!$C:$C,$B84)&gt;0,"Y","-")</f>
        <v>Y</v>
      </c>
      <c r="L84" s="198">
        <f t="shared" si="3"/>
        <v>5</v>
      </c>
      <c r="M84" s="202" t="s">
        <v>875</v>
      </c>
      <c r="N84" s="203"/>
    </row>
    <row r="85" spans="1:14" x14ac:dyDescent="0.2">
      <c r="A85" s="196">
        <f t="shared" si="2"/>
        <v>83</v>
      </c>
      <c r="B85" s="197" t="s">
        <v>569</v>
      </c>
      <c r="C85" s="197" t="s">
        <v>12</v>
      </c>
      <c r="D85" s="197" t="s">
        <v>13</v>
      </c>
      <c r="E85" s="198" t="s">
        <v>769</v>
      </c>
      <c r="F85" s="202"/>
      <c r="G85" s="198" t="str">
        <f>IF(COUNTIF('AIMS Calendar 2324'!$C:$C,$B85)&gt;0,"Y","-")</f>
        <v>Y</v>
      </c>
      <c r="H85" s="198" t="str">
        <f>IF(COUNTIF('AIMS Season - 24_25'!$C:$C,$B85)&gt;0,"Y","-")</f>
        <v>-</v>
      </c>
      <c r="I85" s="198" t="str">
        <f>IF(COUNTIF('AIMS Season 2526'!$C:$C,$B85)&gt;0,"Y","-")</f>
        <v>-</v>
      </c>
      <c r="J85" s="198" t="str">
        <f>IF(COUNTIF('AIMS Season 2627'!$C:$C,$B85)&gt;0,"Y","-")</f>
        <v>-</v>
      </c>
      <c r="K85" s="198" t="str">
        <f>IF(COUNTIF('AIMS Season 2728'!$C:$C,$B85)&gt;0,"Y","-")</f>
        <v>-</v>
      </c>
      <c r="L85" s="198">
        <f t="shared" si="3"/>
        <v>1</v>
      </c>
      <c r="M85" s="202" t="s">
        <v>569</v>
      </c>
      <c r="N85" s="203"/>
    </row>
    <row r="86" spans="1:14" x14ac:dyDescent="0.2">
      <c r="A86" s="196">
        <f t="shared" si="2"/>
        <v>84</v>
      </c>
      <c r="B86" s="197" t="s">
        <v>382</v>
      </c>
      <c r="C86" s="197" t="s">
        <v>12</v>
      </c>
      <c r="D86" s="197" t="s">
        <v>13</v>
      </c>
      <c r="E86" s="198" t="s">
        <v>772</v>
      </c>
      <c r="F86" s="202"/>
      <c r="G86" s="198" t="str">
        <f>IF(COUNTIF('AIMS Calendar 2324'!$C:$C,$B86)&gt;0,"Y","-")</f>
        <v>Y</v>
      </c>
      <c r="H86" s="198" t="str">
        <f>IF(COUNTIF('AIMS Season - 24_25'!$C:$C,$B86)&gt;0,"Y","-")</f>
        <v>Y</v>
      </c>
      <c r="I86" s="198" t="str">
        <f>IF(COUNTIF('AIMS Season 2526'!$C:$C,$B86)&gt;0,"Y","-")</f>
        <v>-</v>
      </c>
      <c r="J86" s="198" t="str">
        <f>IF(COUNTIF('AIMS Season 2627'!$C:$C,$B86)&gt;0,"Y","-")</f>
        <v>Y</v>
      </c>
      <c r="K86" s="198" t="str">
        <f>IF(COUNTIF('AIMS Season 2728'!$C:$C,$B86)&gt;0,"Y","-")</f>
        <v>Y</v>
      </c>
      <c r="L86" s="198">
        <f t="shared" si="3"/>
        <v>4</v>
      </c>
      <c r="M86" s="202" t="s">
        <v>876</v>
      </c>
      <c r="N86" s="203"/>
    </row>
    <row r="87" spans="1:14" x14ac:dyDescent="0.2">
      <c r="A87" s="196">
        <f t="shared" si="2"/>
        <v>85</v>
      </c>
      <c r="B87" s="197" t="s">
        <v>824</v>
      </c>
      <c r="C87" s="197" t="s">
        <v>12</v>
      </c>
      <c r="D87" s="197" t="s">
        <v>20</v>
      </c>
      <c r="E87" s="198" t="s">
        <v>772</v>
      </c>
      <c r="F87" s="202" t="s">
        <v>784</v>
      </c>
      <c r="G87" s="198" t="str">
        <f>IF(COUNTIF('AIMS Calendar 2324'!$C:$C,$B87)&gt;0,"Y","-")</f>
        <v>Y</v>
      </c>
      <c r="H87" s="198" t="str">
        <f>IF(COUNTIF('AIMS Season - 24_25'!$C:$C,$B87)&gt;0,"Y","-")</f>
        <v>Y</v>
      </c>
      <c r="I87" s="198" t="str">
        <f>IF(COUNTIF('AIMS Season 2526'!$C:$C,$B87)&gt;0,"Y","-")</f>
        <v>Y</v>
      </c>
      <c r="J87" s="198" t="str">
        <f>IF(COUNTIF('AIMS Season 2627'!$C:$C,$B87)&gt;0,"Y","-")</f>
        <v>Y</v>
      </c>
      <c r="K87" s="198" t="str">
        <f>IF(COUNTIF('AIMS Season 2728'!$C:$C,$B87)&gt;0,"Y","-")</f>
        <v>Y</v>
      </c>
      <c r="L87" s="198">
        <f t="shared" si="3"/>
        <v>5</v>
      </c>
      <c r="M87" s="202" t="s">
        <v>107</v>
      </c>
      <c r="N87" s="203"/>
    </row>
    <row r="88" spans="1:14" x14ac:dyDescent="0.2">
      <c r="A88" s="196">
        <f t="shared" si="2"/>
        <v>86</v>
      </c>
      <c r="B88" s="197" t="s">
        <v>34</v>
      </c>
      <c r="C88" s="197" t="s">
        <v>399</v>
      </c>
      <c r="D88" s="197" t="s">
        <v>13</v>
      </c>
      <c r="E88" s="198" t="s">
        <v>772</v>
      </c>
      <c r="F88" s="202" t="s">
        <v>825</v>
      </c>
      <c r="G88" s="198" t="str">
        <f>IF(COUNTIF('AIMS Calendar 2324'!$C:$C,$B88)&gt;0,"Y","-")</f>
        <v>Y</v>
      </c>
      <c r="H88" s="198" t="str">
        <f>IF(COUNTIF('AIMS Season - 24_25'!$C:$C,$B88)&gt;0,"Y","-")</f>
        <v>Y</v>
      </c>
      <c r="I88" s="198" t="str">
        <f>IF(COUNTIF('AIMS Season 2526'!$C:$C,$B88)&gt;0,"Y","-")</f>
        <v>Y</v>
      </c>
      <c r="J88" s="198" t="str">
        <f>IF(COUNTIF('AIMS Season 2627'!$C:$C,$B88)&gt;0,"Y","-")</f>
        <v>Y</v>
      </c>
      <c r="K88" s="198" t="str">
        <f>IF(COUNTIF('AIMS Season 2728'!$C:$C,$B88)&gt;0,"Y","-")</f>
        <v>Y</v>
      </c>
      <c r="L88" s="198">
        <f t="shared" si="3"/>
        <v>5</v>
      </c>
      <c r="M88" s="202" t="s">
        <v>877</v>
      </c>
      <c r="N88" s="203"/>
    </row>
    <row r="89" spans="1:14" x14ac:dyDescent="0.2">
      <c r="A89" s="196">
        <f t="shared" si="2"/>
        <v>87</v>
      </c>
      <c r="B89" s="197" t="s">
        <v>127</v>
      </c>
      <c r="C89" s="197" t="s">
        <v>399</v>
      </c>
      <c r="D89" s="197" t="s">
        <v>20</v>
      </c>
      <c r="E89" s="198" t="s">
        <v>772</v>
      </c>
      <c r="F89" s="202"/>
      <c r="G89" s="198" t="str">
        <f>IF(COUNTIF('AIMS Calendar 2324'!$C:$C,$B89)&gt;0,"Y","-")</f>
        <v>Y</v>
      </c>
      <c r="H89" s="198" t="str">
        <f>IF(COUNTIF('AIMS Season - 24_25'!$C:$C,$B89)&gt;0,"Y","-")</f>
        <v>Y</v>
      </c>
      <c r="I89" s="198" t="str">
        <f>IF(COUNTIF('AIMS Season 2526'!$C:$C,$B89)&gt;0,"Y","-")</f>
        <v>Y</v>
      </c>
      <c r="J89" s="198" t="str">
        <f>IF(COUNTIF('AIMS Season 2627'!$C:$C,$B89)&gt;0,"Y","-")</f>
        <v>Y</v>
      </c>
      <c r="K89" s="198" t="str">
        <f>IF(COUNTIF('AIMS Season 2728'!$C:$C,$B89)&gt;0,"Y","-")</f>
        <v>Y</v>
      </c>
      <c r="L89" s="198">
        <f t="shared" si="3"/>
        <v>5</v>
      </c>
      <c r="M89" s="202" t="s">
        <v>127</v>
      </c>
      <c r="N89" s="203"/>
    </row>
    <row r="90" spans="1:14" x14ac:dyDescent="0.2">
      <c r="A90" s="196">
        <f t="shared" si="2"/>
        <v>88</v>
      </c>
      <c r="B90" s="197" t="s">
        <v>826</v>
      </c>
      <c r="C90" s="197" t="s">
        <v>25</v>
      </c>
      <c r="D90" s="197" t="s">
        <v>13</v>
      </c>
      <c r="E90" s="198" t="s">
        <v>772</v>
      </c>
      <c r="F90" s="202" t="s">
        <v>827</v>
      </c>
      <c r="G90" s="198" t="str">
        <f>IF(COUNTIF('AIMS Calendar 2324'!$C:$C,$B90)&gt;0,"Y","-")</f>
        <v>-</v>
      </c>
      <c r="H90" s="198" t="str">
        <f>IF(COUNTIF('AIMS Season - 24_25'!$C:$C,$B90)&gt;0,"Y","-")</f>
        <v>Y</v>
      </c>
      <c r="I90" s="198" t="str">
        <f>IF(COUNTIF('AIMS Season 2526'!$C:$C,$B90)&gt;0,"Y","-")</f>
        <v>Y</v>
      </c>
      <c r="J90" s="198" t="str">
        <f>IF(COUNTIF('AIMS Season 2627'!$C:$C,$B90)&gt;0,"Y","-")</f>
        <v>Y</v>
      </c>
      <c r="K90" s="198" t="str">
        <f>IF(COUNTIF('AIMS Season 2728'!$C:$C,$B90)&gt;0,"Y","-")</f>
        <v>Y</v>
      </c>
      <c r="L90" s="198">
        <f t="shared" si="3"/>
        <v>4</v>
      </c>
      <c r="M90" s="202" t="s">
        <v>285</v>
      </c>
      <c r="N90" s="203"/>
    </row>
    <row r="91" spans="1:14" x14ac:dyDescent="0.2">
      <c r="A91" s="196">
        <f t="shared" si="2"/>
        <v>89</v>
      </c>
      <c r="B91" s="197" t="s">
        <v>828</v>
      </c>
      <c r="C91" s="197" t="s">
        <v>52</v>
      </c>
      <c r="D91" s="197" t="s">
        <v>20</v>
      </c>
      <c r="E91" s="198" t="s">
        <v>772</v>
      </c>
      <c r="F91" s="202"/>
      <c r="G91" s="198" t="str">
        <f>IF(COUNTIF('AIMS Calendar 2324'!$C:$C,$B91)&gt;0,"Y","-")</f>
        <v>Y</v>
      </c>
      <c r="H91" s="198" t="str">
        <f>IF(COUNTIF('AIMS Season - 24_25'!$C:$C,$B91)&gt;0,"Y","-")</f>
        <v>Y</v>
      </c>
      <c r="I91" s="198" t="str">
        <f>IF(COUNTIF('AIMS Season 2526'!$C:$C,$B91)&gt;0,"Y","-")</f>
        <v>Y</v>
      </c>
      <c r="J91" s="198" t="str">
        <f>IF(COUNTIF('AIMS Season 2627'!$C:$C,$B91)&gt;0,"Y","-")</f>
        <v>Y</v>
      </c>
      <c r="K91" s="198" t="str">
        <f>IF(COUNTIF('AIMS Season 2728'!$C:$C,$B91)&gt;0,"Y","-")</f>
        <v>Y</v>
      </c>
      <c r="L91" s="198">
        <f t="shared" si="3"/>
        <v>5</v>
      </c>
      <c r="M91" s="202" t="s">
        <v>271</v>
      </c>
      <c r="N91" s="203"/>
    </row>
    <row r="92" spans="1:14" x14ac:dyDescent="0.2">
      <c r="A92" s="196">
        <f t="shared" si="2"/>
        <v>90</v>
      </c>
      <c r="B92" s="197" t="s">
        <v>14</v>
      </c>
      <c r="C92" s="197" t="s">
        <v>12</v>
      </c>
      <c r="D92" s="197" t="s">
        <v>13</v>
      </c>
      <c r="E92" s="198" t="s">
        <v>772</v>
      </c>
      <c r="F92" s="202"/>
      <c r="G92" s="198" t="str">
        <f>IF(COUNTIF('AIMS Calendar 2324'!$C:$C,$B92)&gt;0,"Y","-")</f>
        <v>-</v>
      </c>
      <c r="H92" s="198" t="str">
        <f>IF(COUNTIF('AIMS Season - 24_25'!$C:$C,$B92)&gt;0,"Y","-")</f>
        <v>-</v>
      </c>
      <c r="I92" s="198" t="str">
        <f>IF(COUNTIF('AIMS Season 2526'!$C:$C,$B92)&gt;0,"Y","-")</f>
        <v>Y</v>
      </c>
      <c r="J92" s="198" t="str">
        <f>IF(COUNTIF('AIMS Season 2627'!$C:$C,$B92)&gt;0,"Y","-")</f>
        <v>Y</v>
      </c>
      <c r="K92" s="198" t="str">
        <f>IF(COUNTIF('AIMS Season 2728'!$C:$C,$B92)&gt;0,"Y","-")</f>
        <v>Y</v>
      </c>
      <c r="L92" s="198">
        <f t="shared" si="3"/>
        <v>3</v>
      </c>
      <c r="M92" s="202" t="s">
        <v>14</v>
      </c>
      <c r="N92" s="203"/>
    </row>
    <row r="93" spans="1:14" x14ac:dyDescent="0.2">
      <c r="A93" s="196">
        <f t="shared" si="2"/>
        <v>91</v>
      </c>
      <c r="B93" s="197" t="s">
        <v>829</v>
      </c>
      <c r="C93" s="197" t="s">
        <v>399</v>
      </c>
      <c r="D93" s="197" t="s">
        <v>20</v>
      </c>
      <c r="E93" s="198" t="s">
        <v>772</v>
      </c>
      <c r="F93" s="202"/>
      <c r="G93" s="198" t="str">
        <f>IF(COUNTIF('AIMS Calendar 2324'!$C:$C,$B93)&gt;0,"Y","-")</f>
        <v>Y</v>
      </c>
      <c r="H93" s="198" t="str">
        <f>IF(COUNTIF('AIMS Season - 24_25'!$C:$C,$B93)&gt;0,"Y","-")</f>
        <v>Y</v>
      </c>
      <c r="I93" s="198" t="str">
        <f>IF(COUNTIF('AIMS Season 2526'!$C:$C,$B93)&gt;0,"Y","-")</f>
        <v>-</v>
      </c>
      <c r="J93" s="198" t="str">
        <f>IF(COUNTIF('AIMS Season 2627'!$C:$C,$B93)&gt;0,"Y","-")</f>
        <v>Y</v>
      </c>
      <c r="K93" s="198" t="str">
        <f>IF(COUNTIF('AIMS Season 2728'!$C:$C,$B93)&gt;0,"Y","-")</f>
        <v>Y</v>
      </c>
      <c r="L93" s="198">
        <f t="shared" si="3"/>
        <v>4</v>
      </c>
      <c r="M93" s="202" t="s">
        <v>878</v>
      </c>
      <c r="N93" s="203" t="s">
        <v>879</v>
      </c>
    </row>
    <row r="94" spans="1:14" x14ac:dyDescent="0.2">
      <c r="A94" s="196">
        <f t="shared" si="2"/>
        <v>92</v>
      </c>
      <c r="B94" s="197" t="s">
        <v>276</v>
      </c>
      <c r="C94" s="197" t="s">
        <v>12</v>
      </c>
      <c r="D94" s="197" t="s">
        <v>13</v>
      </c>
      <c r="E94" s="198" t="s">
        <v>772</v>
      </c>
      <c r="F94" s="202"/>
      <c r="G94" s="198" t="str">
        <f>IF(COUNTIF('AIMS Calendar 2324'!$C:$C,$B94)&gt;0,"Y","-")</f>
        <v>Y</v>
      </c>
      <c r="H94" s="198" t="str">
        <f>IF(COUNTIF('AIMS Season - 24_25'!$C:$C,$B94)&gt;0,"Y","-")</f>
        <v>Y</v>
      </c>
      <c r="I94" s="198" t="str">
        <f>IF(COUNTIF('AIMS Season 2526'!$C:$C,$B94)&gt;0,"Y","-")</f>
        <v>Y</v>
      </c>
      <c r="J94" s="198" t="str">
        <f>IF(COUNTIF('AIMS Season 2627'!$C:$C,$B94)&gt;0,"Y","-")</f>
        <v>Y</v>
      </c>
      <c r="K94" s="198" t="str">
        <f>IF(COUNTIF('AIMS Season 2728'!$C:$C,$B94)&gt;0,"Y","-")</f>
        <v>Y</v>
      </c>
      <c r="L94" s="198">
        <f t="shared" si="3"/>
        <v>5</v>
      </c>
      <c r="M94" s="202" t="s">
        <v>880</v>
      </c>
      <c r="N94" s="203"/>
    </row>
    <row r="95" spans="1:14" x14ac:dyDescent="0.2">
      <c r="A95" s="196">
        <f t="shared" si="2"/>
        <v>93</v>
      </c>
      <c r="B95" s="197" t="s">
        <v>830</v>
      </c>
      <c r="C95" s="197" t="s">
        <v>43</v>
      </c>
      <c r="D95" s="197" t="s">
        <v>13</v>
      </c>
      <c r="E95" s="198" t="s">
        <v>772</v>
      </c>
      <c r="F95" s="202"/>
      <c r="G95" s="198" t="str">
        <f>IF(COUNTIF('AIMS Calendar 2324'!$C:$C,$B95)&gt;0,"Y","-")</f>
        <v>Y</v>
      </c>
      <c r="H95" s="198" t="str">
        <f>IF(COUNTIF('AIMS Season - 24_25'!$C:$C,$B95)&gt;0,"Y","-")</f>
        <v>Y</v>
      </c>
      <c r="I95" s="198" t="str">
        <f>IF(COUNTIF('AIMS Season 2526'!$C:$C,$B95)&gt;0,"Y","-")</f>
        <v>Y</v>
      </c>
      <c r="J95" s="198" t="str">
        <f>IF(COUNTIF('AIMS Season 2627'!$C:$C,$B95)&gt;0,"Y","-")</f>
        <v>Y</v>
      </c>
      <c r="K95" s="198" t="str">
        <f>IF(COUNTIF('AIMS Season 2728'!$C:$C,$B95)&gt;0,"Y","-")</f>
        <v>Y</v>
      </c>
      <c r="L95" s="198">
        <f t="shared" si="3"/>
        <v>5</v>
      </c>
      <c r="M95" s="202" t="s">
        <v>778</v>
      </c>
      <c r="N95" s="203"/>
    </row>
    <row r="96" spans="1:14" x14ac:dyDescent="0.2">
      <c r="A96" s="196">
        <f t="shared" si="2"/>
        <v>94</v>
      </c>
      <c r="B96" s="197" t="s">
        <v>333</v>
      </c>
      <c r="C96" s="197" t="s">
        <v>43</v>
      </c>
      <c r="D96" s="197" t="s">
        <v>13</v>
      </c>
      <c r="E96" s="198" t="s">
        <v>772</v>
      </c>
      <c r="F96" s="202"/>
      <c r="G96" s="198" t="str">
        <f>IF(COUNTIF('AIMS Calendar 2324'!$C:$C,$B96)&gt;0,"Y","-")</f>
        <v>-</v>
      </c>
      <c r="H96" s="198" t="str">
        <f>IF(COUNTIF('AIMS Season - 24_25'!$C:$C,$B96)&gt;0,"Y","-")</f>
        <v>-</v>
      </c>
      <c r="I96" s="198" t="str">
        <f>IF(COUNTIF('AIMS Season 2526'!$C:$C,$B96)&gt;0,"Y","-")</f>
        <v>Y</v>
      </c>
      <c r="J96" s="198" t="str">
        <f>IF(COUNTIF('AIMS Season 2627'!$C:$C,$B96)&gt;0,"Y","-")</f>
        <v>Y</v>
      </c>
      <c r="K96" s="198" t="str">
        <f>IF(COUNTIF('AIMS Season 2728'!$C:$C,$B96)&gt;0,"Y","-")</f>
        <v>Y</v>
      </c>
      <c r="L96" s="198">
        <f t="shared" si="3"/>
        <v>3</v>
      </c>
      <c r="M96" s="202" t="s">
        <v>333</v>
      </c>
      <c r="N96" s="203"/>
    </row>
    <row r="97" spans="1:14" x14ac:dyDescent="0.2">
      <c r="A97" s="196">
        <f t="shared" si="2"/>
        <v>95</v>
      </c>
      <c r="B97" s="197" t="s">
        <v>322</v>
      </c>
      <c r="C97" s="197" t="s">
        <v>394</v>
      </c>
      <c r="D97" s="197" t="s">
        <v>13</v>
      </c>
      <c r="E97" s="198" t="s">
        <v>772</v>
      </c>
      <c r="F97" s="202" t="s">
        <v>790</v>
      </c>
      <c r="G97" s="198" t="str">
        <f>IF(COUNTIF('AIMS Calendar 2324'!$C:$C,$B97)&gt;0,"Y","-")</f>
        <v>Y</v>
      </c>
      <c r="H97" s="198" t="str">
        <f>IF(COUNTIF('AIMS Season - 24_25'!$C:$C,$B97)&gt;0,"Y","-")</f>
        <v>Y</v>
      </c>
      <c r="I97" s="198" t="str">
        <f>IF(COUNTIF('AIMS Season 2526'!$C:$C,$B97)&gt;0,"Y","-")</f>
        <v>Y</v>
      </c>
      <c r="J97" s="198" t="str">
        <f>IF(COUNTIF('AIMS Season 2627'!$C:$C,$B97)&gt;0,"Y","-")</f>
        <v>Y</v>
      </c>
      <c r="K97" s="198" t="str">
        <f>IF(COUNTIF('AIMS Season 2728'!$C:$C,$B97)&gt;0,"Y","-")</f>
        <v>Y</v>
      </c>
      <c r="L97" s="198">
        <f t="shared" si="3"/>
        <v>5</v>
      </c>
      <c r="M97" s="202" t="s">
        <v>322</v>
      </c>
      <c r="N97" s="203"/>
    </row>
    <row r="98" spans="1:14" x14ac:dyDescent="0.2">
      <c r="A98" s="196">
        <f t="shared" si="2"/>
        <v>96</v>
      </c>
      <c r="B98" s="197" t="s">
        <v>220</v>
      </c>
      <c r="C98" s="197" t="s">
        <v>43</v>
      </c>
      <c r="D98" s="197" t="s">
        <v>20</v>
      </c>
      <c r="E98" s="198" t="s">
        <v>772</v>
      </c>
      <c r="F98" s="202"/>
      <c r="G98" s="198" t="str">
        <f>IF(COUNTIF('AIMS Calendar 2324'!$C:$C,$B98)&gt;0,"Y","-")</f>
        <v>Y</v>
      </c>
      <c r="H98" s="198" t="str">
        <f>IF(COUNTIF('AIMS Season - 24_25'!$C:$C,$B98)&gt;0,"Y","-")</f>
        <v>Y</v>
      </c>
      <c r="I98" s="198" t="str">
        <f>IF(COUNTIF('AIMS Season 2526'!$C:$C,$B98)&gt;0,"Y","-")</f>
        <v>Y</v>
      </c>
      <c r="J98" s="198" t="str">
        <f>IF(COUNTIF('AIMS Season 2627'!$C:$C,$B98)&gt;0,"Y","-")</f>
        <v>Y</v>
      </c>
      <c r="K98" s="198" t="str">
        <f>IF(COUNTIF('AIMS Season 2728'!$C:$C,$B98)&gt;0,"Y","-")</f>
        <v>Y</v>
      </c>
      <c r="L98" s="198">
        <f t="shared" si="3"/>
        <v>5</v>
      </c>
      <c r="M98" s="202" t="s">
        <v>881</v>
      </c>
      <c r="N98" s="203"/>
    </row>
    <row r="99" spans="1:14" x14ac:dyDescent="0.2">
      <c r="A99" s="196">
        <f t="shared" si="2"/>
        <v>97</v>
      </c>
      <c r="B99" s="197" t="s">
        <v>258</v>
      </c>
      <c r="C99" s="197" t="s">
        <v>43</v>
      </c>
      <c r="D99" s="197" t="s">
        <v>20</v>
      </c>
      <c r="E99" s="198" t="s">
        <v>772</v>
      </c>
      <c r="F99" s="202"/>
      <c r="G99" s="198" t="str">
        <f>IF(COUNTIF('AIMS Calendar 2324'!$C:$C,$B99)&gt;0,"Y","-")</f>
        <v>-</v>
      </c>
      <c r="H99" s="198" t="str">
        <f>IF(COUNTIF('AIMS Season - 24_25'!$C:$C,$B99)&gt;0,"Y","-")</f>
        <v>Y</v>
      </c>
      <c r="I99" s="198" t="str">
        <f>IF(COUNTIF('AIMS Season 2526'!$C:$C,$B99)&gt;0,"Y","-")</f>
        <v>Y</v>
      </c>
      <c r="J99" s="198" t="str">
        <f>IF(COUNTIF('AIMS Season 2627'!$C:$C,$B99)&gt;0,"Y","-")</f>
        <v>Y</v>
      </c>
      <c r="K99" s="198" t="str">
        <f>IF(COUNTIF('AIMS Season 2728'!$C:$C,$B99)&gt;0,"Y","-")</f>
        <v>Y</v>
      </c>
      <c r="L99" s="198">
        <f t="shared" si="3"/>
        <v>4</v>
      </c>
      <c r="M99" s="202" t="s">
        <v>258</v>
      </c>
      <c r="N99" s="203" t="s">
        <v>882</v>
      </c>
    </row>
    <row r="100" spans="1:14" x14ac:dyDescent="0.2">
      <c r="A100" s="196">
        <f t="shared" si="2"/>
        <v>98</v>
      </c>
      <c r="B100" s="197" t="s">
        <v>831</v>
      </c>
      <c r="C100" s="197" t="s">
        <v>394</v>
      </c>
      <c r="D100" s="197" t="s">
        <v>20</v>
      </c>
      <c r="E100" s="198" t="s">
        <v>772</v>
      </c>
      <c r="F100" s="202" t="s">
        <v>788</v>
      </c>
      <c r="G100" s="198" t="str">
        <f>IF(COUNTIF('AIMS Calendar 2324'!$C:$C,$B100)&gt;0,"Y","-")</f>
        <v>Y</v>
      </c>
      <c r="H100" s="198" t="str">
        <f>IF(COUNTIF('AIMS Season - 24_25'!$C:$C,$B100)&gt;0,"Y","-")</f>
        <v>Y</v>
      </c>
      <c r="I100" s="198" t="str">
        <f>IF(COUNTIF('AIMS Season 2526'!$C:$C,$B100)&gt;0,"Y","-")</f>
        <v>Y</v>
      </c>
      <c r="J100" s="198" t="str">
        <f>IF(COUNTIF('AIMS Season 2627'!$C:$C,$B100)&gt;0,"Y","-")</f>
        <v>Y</v>
      </c>
      <c r="K100" s="198" t="str">
        <f>IF(COUNTIF('AIMS Season 2728'!$C:$C,$B100)&gt;0,"Y","-")</f>
        <v>Y</v>
      </c>
      <c r="L100" s="198">
        <f t="shared" si="3"/>
        <v>5</v>
      </c>
      <c r="M100" s="202" t="s">
        <v>156</v>
      </c>
      <c r="N100" s="203"/>
    </row>
    <row r="101" spans="1:14" x14ac:dyDescent="0.2">
      <c r="A101" s="196">
        <f t="shared" si="2"/>
        <v>99</v>
      </c>
      <c r="B101" s="197" t="s">
        <v>383</v>
      </c>
      <c r="C101" s="197" t="s">
        <v>25</v>
      </c>
      <c r="D101" s="197" t="s">
        <v>13</v>
      </c>
      <c r="E101" s="198" t="s">
        <v>772</v>
      </c>
      <c r="F101" s="202"/>
      <c r="G101" s="198" t="str">
        <f>IF(COUNTIF('AIMS Calendar 2324'!$C:$C,$B101)&gt;0,"Y","-")</f>
        <v>Y</v>
      </c>
      <c r="H101" s="198" t="str">
        <f>IF(COUNTIF('AIMS Season - 24_25'!$C:$C,$B101)&gt;0,"Y","-")</f>
        <v>Y</v>
      </c>
      <c r="I101" s="198" t="str">
        <f>IF(COUNTIF('AIMS Season 2526'!$C:$C,$B101)&gt;0,"Y","-")</f>
        <v>-</v>
      </c>
      <c r="J101" s="198" t="str">
        <f>IF(COUNTIF('AIMS Season 2627'!$C:$C,$B101)&gt;0,"Y","-")</f>
        <v>Y</v>
      </c>
      <c r="K101" s="198" t="str">
        <f>IF(COUNTIF('AIMS Season 2728'!$C:$C,$B101)&gt;0,"Y","-")</f>
        <v>Y</v>
      </c>
      <c r="L101" s="198">
        <f t="shared" si="3"/>
        <v>4</v>
      </c>
      <c r="M101" s="202" t="s">
        <v>383</v>
      </c>
      <c r="N101" s="203"/>
    </row>
    <row r="102" spans="1:14" x14ac:dyDescent="0.2">
      <c r="A102" s="196">
        <f t="shared" si="2"/>
        <v>100</v>
      </c>
      <c r="B102" s="197" t="s">
        <v>326</v>
      </c>
      <c r="C102" s="197" t="s">
        <v>25</v>
      </c>
      <c r="D102" s="197" t="s">
        <v>13</v>
      </c>
      <c r="E102" s="198" t="s">
        <v>772</v>
      </c>
      <c r="F102" s="202"/>
      <c r="G102" s="198" t="str">
        <f>IF(COUNTIF('AIMS Calendar 2324'!$C:$C,$B102)&gt;0,"Y","-")</f>
        <v>Y</v>
      </c>
      <c r="H102" s="198" t="str">
        <f>IF(COUNTIF('AIMS Season - 24_25'!$C:$C,$B102)&gt;0,"Y","-")</f>
        <v>Y</v>
      </c>
      <c r="I102" s="198" t="str">
        <f>IF(COUNTIF('AIMS Season 2526'!$C:$C,$B102)&gt;0,"Y","-")</f>
        <v>Y</v>
      </c>
      <c r="J102" s="198" t="str">
        <f>IF(COUNTIF('AIMS Season 2627'!$C:$C,$B102)&gt;0,"Y","-")</f>
        <v>Y</v>
      </c>
      <c r="K102" s="198" t="str">
        <f>IF(COUNTIF('AIMS Season 2728'!$C:$C,$B102)&gt;0,"Y","-")</f>
        <v>Y</v>
      </c>
      <c r="L102" s="198">
        <f t="shared" si="3"/>
        <v>5</v>
      </c>
      <c r="M102" s="202" t="s">
        <v>326</v>
      </c>
      <c r="N102" s="203"/>
    </row>
    <row r="103" spans="1:14" x14ac:dyDescent="0.2">
      <c r="A103" s="196">
        <f t="shared" si="2"/>
        <v>101</v>
      </c>
      <c r="B103" s="197" t="s">
        <v>30</v>
      </c>
      <c r="C103" s="197" t="s">
        <v>12</v>
      </c>
      <c r="D103" s="197" t="s">
        <v>20</v>
      </c>
      <c r="E103" s="198" t="s">
        <v>772</v>
      </c>
      <c r="F103" s="202"/>
      <c r="G103" s="198" t="str">
        <f>IF(COUNTIF('AIMS Calendar 2324'!$C:$C,$B103)&gt;0,"Y","-")</f>
        <v>Y</v>
      </c>
      <c r="H103" s="198" t="str">
        <f>IF(COUNTIF('AIMS Season - 24_25'!$C:$C,$B103)&gt;0,"Y","-")</f>
        <v>Y</v>
      </c>
      <c r="I103" s="198" t="str">
        <f>IF(COUNTIF('AIMS Season 2526'!$C:$C,$B103)&gt;0,"Y","-")</f>
        <v>Y</v>
      </c>
      <c r="J103" s="198" t="str">
        <f>IF(COUNTIF('AIMS Season 2627'!$C:$C,$B103)&gt;0,"Y","-")</f>
        <v>Y</v>
      </c>
      <c r="K103" s="198" t="str">
        <f>IF(COUNTIF('AIMS Season 2728'!$C:$C,$B103)&gt;0,"Y","-")</f>
        <v>Y</v>
      </c>
      <c r="L103" s="198">
        <f t="shared" si="3"/>
        <v>5</v>
      </c>
      <c r="M103" s="202" t="s">
        <v>883</v>
      </c>
      <c r="N103" s="203"/>
    </row>
    <row r="104" spans="1:14" x14ac:dyDescent="0.2">
      <c r="A104" s="196">
        <f t="shared" si="2"/>
        <v>102</v>
      </c>
      <c r="B104" s="197" t="s">
        <v>832</v>
      </c>
      <c r="C104" s="197" t="s">
        <v>25</v>
      </c>
      <c r="D104" s="197" t="s">
        <v>13</v>
      </c>
      <c r="E104" s="198" t="s">
        <v>772</v>
      </c>
      <c r="F104" s="202"/>
      <c r="G104" s="198" t="str">
        <f>IF(COUNTIF('AIMS Calendar 2324'!$C:$C,$B104)&gt;0,"Y","-")</f>
        <v>-</v>
      </c>
      <c r="H104" s="198" t="str">
        <f>IF(COUNTIF('AIMS Season - 24_25'!$C:$C,$B104)&gt;0,"Y","-")</f>
        <v>Y</v>
      </c>
      <c r="I104" s="198" t="str">
        <f>IF(COUNTIF('AIMS Season 2526'!$C:$C,$B104)&gt;0,"Y","-")</f>
        <v>Y</v>
      </c>
      <c r="J104" s="198" t="str">
        <f>IF(COUNTIF('AIMS Season 2627'!$C:$C,$B104)&gt;0,"Y","-")</f>
        <v>Y</v>
      </c>
      <c r="K104" s="198" t="str">
        <f>IF(COUNTIF('AIMS Season 2728'!$C:$C,$B104)&gt;0,"Y","-")</f>
        <v>Y</v>
      </c>
      <c r="L104" s="198">
        <f t="shared" si="3"/>
        <v>4</v>
      </c>
      <c r="M104" s="202" t="s">
        <v>330</v>
      </c>
      <c r="N104" s="203"/>
    </row>
    <row r="105" spans="1:14" x14ac:dyDescent="0.2">
      <c r="A105" s="196">
        <f t="shared" si="2"/>
        <v>103</v>
      </c>
      <c r="B105" s="197" t="s">
        <v>833</v>
      </c>
      <c r="C105" s="197" t="s">
        <v>394</v>
      </c>
      <c r="D105" s="197" t="s">
        <v>20</v>
      </c>
      <c r="E105" s="198" t="s">
        <v>772</v>
      </c>
      <c r="F105" s="202"/>
      <c r="G105" s="198" t="str">
        <f>IF(COUNTIF('AIMS Calendar 2324'!$C:$C,$B105)&gt;0,"Y","-")</f>
        <v>Y</v>
      </c>
      <c r="H105" s="198" t="str">
        <f>IF(COUNTIF('AIMS Season - 24_25'!$C:$C,$B105)&gt;0,"Y","-")</f>
        <v>Y</v>
      </c>
      <c r="I105" s="198" t="str">
        <f>IF(COUNTIF('AIMS Season 2526'!$C:$C,$B105)&gt;0,"Y","-")</f>
        <v>Y</v>
      </c>
      <c r="J105" s="198" t="str">
        <f>IF(COUNTIF('AIMS Season 2627'!$C:$C,$B105)&gt;0,"Y","-")</f>
        <v>Y</v>
      </c>
      <c r="K105" s="198" t="str">
        <f>IF(COUNTIF('AIMS Season 2728'!$C:$C,$B105)&gt;0,"Y","-")</f>
        <v>Y</v>
      </c>
      <c r="L105" s="198">
        <f t="shared" si="3"/>
        <v>5</v>
      </c>
      <c r="M105" s="202" t="s">
        <v>884</v>
      </c>
      <c r="N105" s="203"/>
    </row>
    <row r="106" spans="1:14" x14ac:dyDescent="0.2">
      <c r="A106" s="196">
        <f t="shared" si="2"/>
        <v>104</v>
      </c>
      <c r="B106" s="197" t="s">
        <v>834</v>
      </c>
      <c r="C106" s="197" t="s">
        <v>43</v>
      </c>
      <c r="D106" s="197" t="s">
        <v>20</v>
      </c>
      <c r="E106" s="198" t="s">
        <v>772</v>
      </c>
      <c r="F106" s="202"/>
      <c r="G106" s="198" t="str">
        <f>IF(COUNTIF('AIMS Calendar 2324'!$C:$C,$B106)&gt;0,"Y","-")</f>
        <v>Y</v>
      </c>
      <c r="H106" s="198" t="str">
        <f>IF(COUNTIF('AIMS Season - 24_25'!$C:$C,$B106)&gt;0,"Y","-")</f>
        <v>Y</v>
      </c>
      <c r="I106" s="198" t="str">
        <f>IF(COUNTIF('AIMS Season 2526'!$C:$C,$B106)&gt;0,"Y","-")</f>
        <v>Y</v>
      </c>
      <c r="J106" s="198" t="str">
        <f>IF(COUNTIF('AIMS Season 2627'!$C:$C,$B106)&gt;0,"Y","-")</f>
        <v>Y</v>
      </c>
      <c r="K106" s="198" t="str">
        <f>IF(COUNTIF('AIMS Season 2728'!$C:$C,$B106)&gt;0,"Y","-")</f>
        <v>Y</v>
      </c>
      <c r="L106" s="198">
        <f t="shared" si="3"/>
        <v>5</v>
      </c>
      <c r="M106" s="202" t="s">
        <v>885</v>
      </c>
      <c r="N106" s="203"/>
    </row>
    <row r="107" spans="1:14" x14ac:dyDescent="0.2">
      <c r="A107" s="196">
        <f t="shared" si="2"/>
        <v>105</v>
      </c>
      <c r="B107" s="197" t="s">
        <v>835</v>
      </c>
      <c r="C107" s="197" t="s">
        <v>52</v>
      </c>
      <c r="D107" s="197" t="s">
        <v>20</v>
      </c>
      <c r="E107" s="198" t="s">
        <v>772</v>
      </c>
      <c r="F107" s="202"/>
      <c r="G107" s="198" t="str">
        <f>IF(COUNTIF('AIMS Calendar 2324'!$C:$C,$B107)&gt;0,"Y","-")</f>
        <v>Y</v>
      </c>
      <c r="H107" s="198" t="str">
        <f>IF(COUNTIF('AIMS Season - 24_25'!$C:$C,$B107)&gt;0,"Y","-")</f>
        <v>Y</v>
      </c>
      <c r="I107" s="198" t="str">
        <f>IF(COUNTIF('AIMS Season 2526'!$C:$C,$B107)&gt;0,"Y","-")</f>
        <v>Y</v>
      </c>
      <c r="J107" s="198" t="str">
        <f>IF(COUNTIF('AIMS Season 2627'!$C:$C,$B107)&gt;0,"Y","-")</f>
        <v>Y</v>
      </c>
      <c r="K107" s="198" t="str">
        <f>IF(COUNTIF('AIMS Season 2728'!$C:$C,$B107)&gt;0,"Y","-")</f>
        <v>-</v>
      </c>
      <c r="L107" s="198">
        <f t="shared" si="3"/>
        <v>4</v>
      </c>
      <c r="M107" s="202" t="s">
        <v>886</v>
      </c>
      <c r="N107" s="203"/>
    </row>
    <row r="108" spans="1:14" x14ac:dyDescent="0.2">
      <c r="A108" s="196">
        <f t="shared" si="2"/>
        <v>106</v>
      </c>
      <c r="B108" s="197" t="s">
        <v>94</v>
      </c>
      <c r="C108" s="197" t="s">
        <v>399</v>
      </c>
      <c r="D108" s="197" t="s">
        <v>13</v>
      </c>
      <c r="E108" s="198" t="s">
        <v>772</v>
      </c>
      <c r="F108" s="202"/>
      <c r="G108" s="198" t="str">
        <f>IF(COUNTIF('AIMS Calendar 2324'!$C:$C,$B108)&gt;0,"Y","-")</f>
        <v>Y</v>
      </c>
      <c r="H108" s="198" t="str">
        <f>IF(COUNTIF('AIMS Season - 24_25'!$C:$C,$B108)&gt;0,"Y","-")</f>
        <v>Y</v>
      </c>
      <c r="I108" s="198" t="str">
        <f>IF(COUNTIF('AIMS Season 2526'!$C:$C,$B108)&gt;0,"Y","-")</f>
        <v>Y</v>
      </c>
      <c r="J108" s="198" t="str">
        <f>IF(COUNTIF('AIMS Season 2627'!$C:$C,$B108)&gt;0,"Y","-")</f>
        <v>Y</v>
      </c>
      <c r="K108" s="198" t="str">
        <f>IF(COUNTIF('AIMS Season 2728'!$C:$C,$B108)&gt;0,"Y","-")</f>
        <v>Y</v>
      </c>
      <c r="L108" s="198">
        <f t="shared" si="3"/>
        <v>5</v>
      </c>
      <c r="M108" s="202" t="s">
        <v>887</v>
      </c>
      <c r="N108" s="203"/>
    </row>
    <row r="109" spans="1:14" x14ac:dyDescent="0.2">
      <c r="A109" s="196">
        <f t="shared" si="2"/>
        <v>107</v>
      </c>
      <c r="B109" s="197" t="s">
        <v>836</v>
      </c>
      <c r="C109" s="197" t="s">
        <v>12</v>
      </c>
      <c r="D109" s="197" t="s">
        <v>20</v>
      </c>
      <c r="E109" s="198" t="s">
        <v>772</v>
      </c>
      <c r="F109" s="202" t="s">
        <v>788</v>
      </c>
      <c r="G109" s="198" t="str">
        <f>IF(COUNTIF('AIMS Calendar 2324'!$C:$C,$B109)&gt;0,"Y","-")</f>
        <v>Y</v>
      </c>
      <c r="H109" s="198" t="str">
        <f>IF(COUNTIF('AIMS Season - 24_25'!$C:$C,$B109)&gt;0,"Y","-")</f>
        <v>Y</v>
      </c>
      <c r="I109" s="198" t="str">
        <f>IF(COUNTIF('AIMS Season 2526'!$C:$C,$B109)&gt;0,"Y","-")</f>
        <v>Y</v>
      </c>
      <c r="J109" s="198" t="str">
        <f>IF(COUNTIF('AIMS Season 2627'!$C:$C,$B109)&gt;0,"Y","-")</f>
        <v>Y</v>
      </c>
      <c r="K109" s="198" t="str">
        <f>IF(COUNTIF('AIMS Season 2728'!$C:$C,$B109)&gt;0,"Y","-")</f>
        <v>Y</v>
      </c>
      <c r="L109" s="198">
        <f t="shared" si="3"/>
        <v>5</v>
      </c>
      <c r="M109" s="202" t="s">
        <v>90</v>
      </c>
      <c r="N109" s="203"/>
    </row>
    <row r="110" spans="1:14" x14ac:dyDescent="0.2">
      <c r="A110" s="196">
        <f t="shared" si="2"/>
        <v>108</v>
      </c>
      <c r="B110" s="197" t="s">
        <v>837</v>
      </c>
      <c r="C110" s="197" t="s">
        <v>43</v>
      </c>
      <c r="D110" s="197" t="s">
        <v>13</v>
      </c>
      <c r="E110" s="198" t="s">
        <v>772</v>
      </c>
      <c r="F110" s="202"/>
      <c r="G110" s="198" t="str">
        <f>IF(COUNTIF('AIMS Calendar 2324'!$C:$C,$B110)&gt;0,"Y","-")</f>
        <v>Y</v>
      </c>
      <c r="H110" s="198" t="str">
        <f>IF(COUNTIF('AIMS Season - 24_25'!$C:$C,$B110)&gt;0,"Y","-")</f>
        <v>-</v>
      </c>
      <c r="I110" s="198" t="str">
        <f>IF(COUNTIF('AIMS Season 2526'!$C:$C,$B110)&gt;0,"Y","-")</f>
        <v>Y</v>
      </c>
      <c r="J110" s="198" t="str">
        <f>IF(COUNTIF('AIMS Season 2627'!$C:$C,$B110)&gt;0,"Y","-")</f>
        <v>Y</v>
      </c>
      <c r="K110" s="198" t="str">
        <f>IF(COUNTIF('AIMS Season 2728'!$C:$C,$B110)&gt;0,"Y","-")</f>
        <v>Y</v>
      </c>
      <c r="L110" s="198">
        <f t="shared" si="3"/>
        <v>4</v>
      </c>
      <c r="M110" s="202" t="s">
        <v>888</v>
      </c>
      <c r="N110" s="203"/>
    </row>
    <row r="111" spans="1:14" x14ac:dyDescent="0.2">
      <c r="A111" s="196">
        <f t="shared" si="2"/>
        <v>109</v>
      </c>
      <c r="B111" s="197" t="s">
        <v>838</v>
      </c>
      <c r="C111" s="197" t="s">
        <v>399</v>
      </c>
      <c r="D111" s="197" t="s">
        <v>13</v>
      </c>
      <c r="E111" s="198" t="s">
        <v>772</v>
      </c>
      <c r="F111" s="202"/>
      <c r="G111" s="198" t="str">
        <f>IF(COUNTIF('AIMS Calendar 2324'!$C:$C,$B111)&gt;0,"Y","-")</f>
        <v>Y</v>
      </c>
      <c r="H111" s="198" t="str">
        <f>IF(COUNTIF('AIMS Season - 24_25'!$C:$C,$B111)&gt;0,"Y","-")</f>
        <v>-</v>
      </c>
      <c r="I111" s="198" t="str">
        <f>IF(COUNTIF('AIMS Season 2526'!$C:$C,$B111)&gt;0,"Y","-")</f>
        <v>-</v>
      </c>
      <c r="J111" s="198" t="str">
        <f>IF(COUNTIF('AIMS Season 2627'!$C:$C,$B111)&gt;0,"Y","-")</f>
        <v>Y</v>
      </c>
      <c r="K111" s="198" t="str">
        <f>IF(COUNTIF('AIMS Season 2728'!$C:$C,$B111)&gt;0,"Y","-")</f>
        <v>Y</v>
      </c>
      <c r="L111" s="198">
        <f t="shared" si="3"/>
        <v>3</v>
      </c>
      <c r="M111" s="202" t="s">
        <v>384</v>
      </c>
      <c r="N111" s="203"/>
    </row>
    <row r="112" spans="1:14" x14ac:dyDescent="0.2">
      <c r="A112" s="196">
        <f t="shared" si="2"/>
        <v>110</v>
      </c>
      <c r="B112" s="197" t="s">
        <v>386</v>
      </c>
      <c r="C112" s="197" t="s">
        <v>399</v>
      </c>
      <c r="D112" s="197" t="s">
        <v>13</v>
      </c>
      <c r="E112" s="198" t="s">
        <v>769</v>
      </c>
      <c r="F112" s="202"/>
      <c r="G112" s="198" t="str">
        <f>IF(COUNTIF('AIMS Calendar 2324'!$C:$C,$B112)&gt;0,"Y","-")</f>
        <v>Y</v>
      </c>
      <c r="H112" s="198" t="str">
        <f>IF(COUNTIF('AIMS Season - 24_25'!$C:$C,$B112)&gt;0,"Y","-")</f>
        <v>-</v>
      </c>
      <c r="I112" s="198" t="str">
        <f>IF(COUNTIF('AIMS Season 2526'!$C:$C,$B112)&gt;0,"Y","-")</f>
        <v>-</v>
      </c>
      <c r="J112" s="198" t="str">
        <f>IF(COUNTIF('AIMS Season 2627'!$C:$C,$B112)&gt;0,"Y","-")</f>
        <v>-</v>
      </c>
      <c r="K112" s="198" t="str">
        <f>IF(COUNTIF('AIMS Season 2728'!$C:$C,$B112)&gt;0,"Y","-")</f>
        <v>Y</v>
      </c>
      <c r="L112" s="198">
        <f t="shared" si="3"/>
        <v>2</v>
      </c>
      <c r="M112" s="202" t="s">
        <v>386</v>
      </c>
      <c r="N112" s="203" t="s">
        <v>889</v>
      </c>
    </row>
    <row r="113" spans="1:14" x14ac:dyDescent="0.2">
      <c r="A113" s="196">
        <f t="shared" si="2"/>
        <v>111</v>
      </c>
      <c r="B113" s="197" t="s">
        <v>839</v>
      </c>
      <c r="C113" s="197" t="s">
        <v>43</v>
      </c>
      <c r="D113" s="197" t="s">
        <v>20</v>
      </c>
      <c r="E113" s="198" t="s">
        <v>772</v>
      </c>
      <c r="F113" s="202"/>
      <c r="G113" s="198" t="str">
        <f>IF(COUNTIF('AIMS Calendar 2324'!$C:$C,$B113)&gt;0,"Y","-")</f>
        <v>Y</v>
      </c>
      <c r="H113" s="198" t="str">
        <f>IF(COUNTIF('AIMS Season - 24_25'!$C:$C,$B113)&gt;0,"Y","-")</f>
        <v>Y</v>
      </c>
      <c r="I113" s="198" t="str">
        <f>IF(COUNTIF('AIMS Season 2526'!$C:$C,$B113)&gt;0,"Y","-")</f>
        <v>Y</v>
      </c>
      <c r="J113" s="198" t="str">
        <f>IF(COUNTIF('AIMS Season 2627'!$C:$C,$B113)&gt;0,"Y","-")</f>
        <v>Y</v>
      </c>
      <c r="K113" s="198" t="str">
        <f>IF(COUNTIF('AIMS Season 2728'!$C:$C,$B113)&gt;0,"Y","-")</f>
        <v>Y</v>
      </c>
      <c r="L113" s="198">
        <f t="shared" si="3"/>
        <v>5</v>
      </c>
      <c r="M113" s="202" t="s">
        <v>904</v>
      </c>
      <c r="N113" s="203"/>
    </row>
    <row r="114" spans="1:14" x14ac:dyDescent="0.2">
      <c r="A114" s="196">
        <f t="shared" si="2"/>
        <v>112</v>
      </c>
      <c r="B114" s="197" t="s">
        <v>53</v>
      </c>
      <c r="C114" s="197" t="s">
        <v>52</v>
      </c>
      <c r="D114" s="197" t="s">
        <v>20</v>
      </c>
      <c r="E114" s="198" t="s">
        <v>772</v>
      </c>
      <c r="F114" s="202" t="s">
        <v>801</v>
      </c>
      <c r="G114" s="198" t="str">
        <f>IF(COUNTIF('AIMS Calendar 2324'!$C:$C,$B114)&gt;0,"Y","-")</f>
        <v>Y</v>
      </c>
      <c r="H114" s="198" t="str">
        <f>IF(COUNTIF('AIMS Season - 24_25'!$C:$C,$B114)&gt;0,"Y","-")</f>
        <v>Y</v>
      </c>
      <c r="I114" s="198" t="str">
        <f>IF(COUNTIF('AIMS Season 2526'!$C:$C,$B114)&gt;0,"Y","-")</f>
        <v>Y</v>
      </c>
      <c r="J114" s="198" t="str">
        <f>IF(COUNTIF('AIMS Season 2627'!$C:$C,$B114)&gt;0,"Y","-")</f>
        <v>Y</v>
      </c>
      <c r="K114" s="198" t="str">
        <f>IF(COUNTIF('AIMS Season 2728'!$C:$C,$B114)&gt;0,"Y","-")</f>
        <v>Y</v>
      </c>
      <c r="L114" s="198">
        <f t="shared" si="3"/>
        <v>5</v>
      </c>
      <c r="M114" s="202" t="s">
        <v>53</v>
      </c>
      <c r="N114" s="203"/>
    </row>
    <row r="115" spans="1:14" x14ac:dyDescent="0.2">
      <c r="A115" s="196">
        <f t="shared" si="2"/>
        <v>113</v>
      </c>
      <c r="B115" s="197" t="s">
        <v>365</v>
      </c>
      <c r="C115" s="197" t="s">
        <v>43</v>
      </c>
      <c r="D115" s="197" t="s">
        <v>13</v>
      </c>
      <c r="E115" s="198" t="s">
        <v>772</v>
      </c>
      <c r="F115" s="202"/>
      <c r="G115" s="198" t="str">
        <f>IF(COUNTIF('AIMS Calendar 2324'!$C:$C,$B115)&gt;0,"Y","-")</f>
        <v>-</v>
      </c>
      <c r="H115" s="198" t="str">
        <f>IF(COUNTIF('AIMS Season - 24_25'!$C:$C,$B115)&gt;0,"Y","-")</f>
        <v>-</v>
      </c>
      <c r="I115" s="198" t="str">
        <f>IF(COUNTIF('AIMS Season 2526'!$C:$C,$B115)&gt;0,"Y","-")</f>
        <v>-</v>
      </c>
      <c r="J115" s="198" t="str">
        <f>IF(COUNTIF('AIMS Season 2627'!$C:$C,$B115)&gt;0,"Y","-")</f>
        <v>Y</v>
      </c>
      <c r="K115" s="198" t="str">
        <f>IF(COUNTIF('AIMS Season 2728'!$C:$C,$B115)&gt;0,"Y","-")</f>
        <v>-</v>
      </c>
      <c r="L115" s="198">
        <f t="shared" si="3"/>
        <v>1</v>
      </c>
      <c r="M115" s="202" t="s">
        <v>365</v>
      </c>
      <c r="N115" s="203" t="s">
        <v>908</v>
      </c>
    </row>
    <row r="116" spans="1:14" x14ac:dyDescent="0.2">
      <c r="A116" s="196">
        <f t="shared" si="2"/>
        <v>114</v>
      </c>
      <c r="B116" s="197" t="s">
        <v>232</v>
      </c>
      <c r="C116" s="197" t="s">
        <v>394</v>
      </c>
      <c r="D116" s="197" t="s">
        <v>20</v>
      </c>
      <c r="E116" s="198" t="s">
        <v>772</v>
      </c>
      <c r="F116" s="202"/>
      <c r="G116" s="198" t="str">
        <f>IF(COUNTIF('AIMS Calendar 2324'!$C:$C,$B116)&gt;0,"Y","-")</f>
        <v>Y</v>
      </c>
      <c r="H116" s="198" t="str">
        <f>IF(COUNTIF('AIMS Season - 24_25'!$C:$C,$B116)&gt;0,"Y","-")</f>
        <v>Y</v>
      </c>
      <c r="I116" s="198" t="str">
        <f>IF(COUNTIF('AIMS Season 2526'!$C:$C,$B116)&gt;0,"Y","-")</f>
        <v>Y</v>
      </c>
      <c r="J116" s="198" t="str">
        <f>IF(COUNTIF('AIMS Season 2627'!$C:$C,$B116)&gt;0,"Y","-")</f>
        <v>Y</v>
      </c>
      <c r="K116" s="198" t="str">
        <f>IF(COUNTIF('AIMS Season 2728'!$C:$C,$B116)&gt;0,"Y","-")</f>
        <v>Y</v>
      </c>
      <c r="L116" s="198">
        <f t="shared" si="3"/>
        <v>5</v>
      </c>
      <c r="M116" s="202" t="s">
        <v>905</v>
      </c>
      <c r="N116" s="203"/>
    </row>
    <row r="117" spans="1:14" x14ac:dyDescent="0.2">
      <c r="A117" s="196">
        <f t="shared" si="2"/>
        <v>115</v>
      </c>
      <c r="B117" s="197" t="s">
        <v>168</v>
      </c>
      <c r="C117" s="197" t="s">
        <v>394</v>
      </c>
      <c r="D117" s="197" t="s">
        <v>20</v>
      </c>
      <c r="E117" s="198" t="s">
        <v>772</v>
      </c>
      <c r="F117" s="202"/>
      <c r="G117" s="198" t="str">
        <f>IF(COUNTIF('AIMS Calendar 2324'!$C:$C,$B117)&gt;0,"Y","-")</f>
        <v>Y</v>
      </c>
      <c r="H117" s="198" t="str">
        <f>IF(COUNTIF('AIMS Season - 24_25'!$C:$C,$B117)&gt;0,"Y","-")</f>
        <v>Y</v>
      </c>
      <c r="I117" s="198" t="str">
        <f>IF(COUNTIF('AIMS Season 2526'!$C:$C,$B117)&gt;0,"Y","-")</f>
        <v>Y</v>
      </c>
      <c r="J117" s="198" t="str">
        <f>IF(COUNTIF('AIMS Season 2627'!$C:$C,$B117)&gt;0,"Y","-")</f>
        <v>Y</v>
      </c>
      <c r="K117" s="198" t="str">
        <f>IF(COUNTIF('AIMS Season 2728'!$C:$C,$B117)&gt;0,"Y","-")</f>
        <v>Y</v>
      </c>
      <c r="L117" s="198">
        <f t="shared" si="3"/>
        <v>5</v>
      </c>
      <c r="M117" s="202" t="s">
        <v>890</v>
      </c>
      <c r="N117" s="203"/>
    </row>
    <row r="118" spans="1:14" x14ac:dyDescent="0.2">
      <c r="A118" s="196">
        <f t="shared" si="2"/>
        <v>116</v>
      </c>
      <c r="B118" s="197" t="s">
        <v>269</v>
      </c>
      <c r="C118" s="197" t="s">
        <v>394</v>
      </c>
      <c r="D118" s="197" t="s">
        <v>20</v>
      </c>
      <c r="E118" s="198" t="s">
        <v>772</v>
      </c>
      <c r="F118" s="202"/>
      <c r="G118" s="198" t="str">
        <f>IF(COUNTIF('AIMS Calendar 2324'!$C:$C,$B118)&gt;0,"Y","-")</f>
        <v>Y</v>
      </c>
      <c r="H118" s="198" t="str">
        <f>IF(COUNTIF('AIMS Season - 24_25'!$C:$C,$B118)&gt;0,"Y","-")</f>
        <v>Y</v>
      </c>
      <c r="I118" s="198" t="str">
        <f>IF(COUNTIF('AIMS Season 2526'!$C:$C,$B118)&gt;0,"Y","-")</f>
        <v>Y</v>
      </c>
      <c r="J118" s="198" t="str">
        <f>IF(COUNTIF('AIMS Season 2627'!$C:$C,$B118)&gt;0,"Y","-")</f>
        <v>Y</v>
      </c>
      <c r="K118" s="198" t="str">
        <f>IF(COUNTIF('AIMS Season 2728'!$C:$C,$B118)&gt;0,"Y","-")</f>
        <v>Y</v>
      </c>
      <c r="L118" s="198">
        <f t="shared" si="3"/>
        <v>5</v>
      </c>
      <c r="M118" s="202" t="s">
        <v>269</v>
      </c>
      <c r="N118" s="203"/>
    </row>
    <row r="119" spans="1:14" x14ac:dyDescent="0.2">
      <c r="A119" s="196">
        <f t="shared" si="2"/>
        <v>117</v>
      </c>
      <c r="B119" s="197" t="s">
        <v>186</v>
      </c>
      <c r="C119" s="197" t="s">
        <v>43</v>
      </c>
      <c r="D119" s="197" t="s">
        <v>20</v>
      </c>
      <c r="E119" s="198" t="s">
        <v>772</v>
      </c>
      <c r="F119" s="202"/>
      <c r="G119" s="198" t="str">
        <f>IF(COUNTIF('AIMS Calendar 2324'!$C:$C,$B119)&gt;0,"Y","-")</f>
        <v>Y</v>
      </c>
      <c r="H119" s="198" t="str">
        <f>IF(COUNTIF('AIMS Season - 24_25'!$C:$C,$B119)&gt;0,"Y","-")</f>
        <v>Y</v>
      </c>
      <c r="I119" s="198" t="str">
        <f>IF(COUNTIF('AIMS Season 2526'!$C:$C,$B119)&gt;0,"Y","-")</f>
        <v>Y</v>
      </c>
      <c r="J119" s="198" t="str">
        <f>IF(COUNTIF('AIMS Season 2627'!$C:$C,$B119)&gt;0,"Y","-")</f>
        <v>Y</v>
      </c>
      <c r="K119" s="198" t="str">
        <f>IF(COUNTIF('AIMS Season 2728'!$C:$C,$B119)&gt;0,"Y","-")</f>
        <v>Y</v>
      </c>
      <c r="L119" s="198">
        <f t="shared" si="3"/>
        <v>5</v>
      </c>
      <c r="M119" s="202" t="s">
        <v>906</v>
      </c>
      <c r="N119" s="203"/>
    </row>
    <row r="120" spans="1:14" x14ac:dyDescent="0.2">
      <c r="A120" s="196">
        <f t="shared" si="2"/>
        <v>118</v>
      </c>
      <c r="B120" s="197" t="s">
        <v>840</v>
      </c>
      <c r="C120" s="197" t="s">
        <v>43</v>
      </c>
      <c r="D120" s="197" t="s">
        <v>20</v>
      </c>
      <c r="E120" s="198" t="s">
        <v>772</v>
      </c>
      <c r="F120" s="202" t="s">
        <v>784</v>
      </c>
      <c r="G120" s="198" t="str">
        <f>IF(COUNTIF('AIMS Calendar 2324'!$C:$C,$B120)&gt;0,"Y","-")</f>
        <v>Y</v>
      </c>
      <c r="H120" s="198" t="str">
        <f>IF(COUNTIF('AIMS Season - 24_25'!$C:$C,$B120)&gt;0,"Y","-")</f>
        <v>Y</v>
      </c>
      <c r="I120" s="198" t="str">
        <f>IF(COUNTIF('AIMS Season 2526'!$C:$C,$B120)&gt;0,"Y","-")</f>
        <v>Y</v>
      </c>
      <c r="J120" s="198" t="str">
        <f>IF(COUNTIF('AIMS Season 2627'!$C:$C,$B120)&gt;0,"Y","-")</f>
        <v>Y</v>
      </c>
      <c r="K120" s="198" t="str">
        <f>IF(COUNTIF('AIMS Season 2728'!$C:$C,$B120)&gt;0,"Y","-")</f>
        <v>Y</v>
      </c>
      <c r="L120" s="198">
        <f t="shared" si="3"/>
        <v>5</v>
      </c>
      <c r="M120" s="202" t="s">
        <v>135</v>
      </c>
      <c r="N120" s="203"/>
    </row>
    <row r="121" spans="1:14" x14ac:dyDescent="0.2">
      <c r="A121" s="196">
        <f t="shared" si="2"/>
        <v>119</v>
      </c>
      <c r="B121" s="197" t="s">
        <v>172</v>
      </c>
      <c r="C121" s="197" t="s">
        <v>52</v>
      </c>
      <c r="D121" s="197" t="s">
        <v>20</v>
      </c>
      <c r="E121" s="198" t="s">
        <v>772</v>
      </c>
      <c r="F121" s="202"/>
      <c r="G121" s="198" t="str">
        <f>IF(COUNTIF('AIMS Calendar 2324'!$C:$C,$B121)&gt;0,"Y","-")</f>
        <v>Y</v>
      </c>
      <c r="H121" s="198" t="str">
        <f>IF(COUNTIF('AIMS Season - 24_25'!$C:$C,$B121)&gt;0,"Y","-")</f>
        <v>Y</v>
      </c>
      <c r="I121" s="198" t="str">
        <f>IF(COUNTIF('AIMS Season 2526'!$C:$C,$B121)&gt;0,"Y","-")</f>
        <v>Y</v>
      </c>
      <c r="J121" s="198" t="str">
        <f>IF(COUNTIF('AIMS Season 2627'!$C:$C,$B121)&gt;0,"Y","-")</f>
        <v>Y</v>
      </c>
      <c r="K121" s="198" t="str">
        <f>IF(COUNTIF('AIMS Season 2728'!$C:$C,$B121)&gt;0,"Y","-")</f>
        <v>Y</v>
      </c>
      <c r="L121" s="198">
        <f t="shared" si="3"/>
        <v>5</v>
      </c>
      <c r="M121" s="202" t="s">
        <v>891</v>
      </c>
      <c r="N121" s="203"/>
    </row>
    <row r="122" spans="1:14" x14ac:dyDescent="0.2">
      <c r="A122" s="196">
        <f t="shared" si="2"/>
        <v>120</v>
      </c>
      <c r="B122" s="197" t="s">
        <v>841</v>
      </c>
      <c r="C122" s="197" t="s">
        <v>12</v>
      </c>
      <c r="D122" s="197" t="s">
        <v>13</v>
      </c>
      <c r="E122" s="198" t="s">
        <v>772</v>
      </c>
      <c r="F122" s="202"/>
      <c r="G122" s="198" t="str">
        <f>IF(COUNTIF('AIMS Calendar 2324'!$C:$C,$B122)&gt;0,"Y","-")</f>
        <v>Y</v>
      </c>
      <c r="H122" s="198" t="str">
        <f>IF(COUNTIF('AIMS Season - 24_25'!$C:$C,$B122)&gt;0,"Y","-")</f>
        <v>Y</v>
      </c>
      <c r="I122" s="198" t="str">
        <f>IF(COUNTIF('AIMS Season 2526'!$C:$C,$B122)&gt;0,"Y","-")</f>
        <v>Y</v>
      </c>
      <c r="J122" s="198" t="str">
        <f>IF(COUNTIF('AIMS Season 2627'!$C:$C,$B122)&gt;0,"Y","-")</f>
        <v>Y</v>
      </c>
      <c r="K122" s="198" t="str">
        <f>IF(COUNTIF('AIMS Season 2728'!$C:$C,$B122)&gt;0,"Y","-")</f>
        <v>Y</v>
      </c>
      <c r="L122" s="198">
        <f t="shared" si="3"/>
        <v>5</v>
      </c>
      <c r="M122" s="202" t="s">
        <v>47</v>
      </c>
      <c r="N122" s="203"/>
    </row>
    <row r="123" spans="1:14" x14ac:dyDescent="0.2">
      <c r="A123" s="196">
        <f t="shared" si="2"/>
        <v>121</v>
      </c>
      <c r="B123" s="197" t="s">
        <v>279</v>
      </c>
      <c r="C123" s="197" t="s">
        <v>394</v>
      </c>
      <c r="D123" s="197" t="s">
        <v>13</v>
      </c>
      <c r="E123" s="198" t="s">
        <v>771</v>
      </c>
      <c r="F123" s="202"/>
      <c r="G123" s="198" t="str">
        <f>IF(COUNTIF('AIMS Calendar 2324'!$C:$C,$B123)&gt;0,"Y","-")</f>
        <v>Y</v>
      </c>
      <c r="H123" s="198" t="str">
        <f>IF(COUNTIF('AIMS Season - 24_25'!$C:$C,$B123)&gt;0,"Y","-")</f>
        <v>Y</v>
      </c>
      <c r="I123" s="198" t="str">
        <f>IF(COUNTIF('AIMS Season 2526'!$C:$C,$B123)&gt;0,"Y","-")</f>
        <v>Y</v>
      </c>
      <c r="J123" s="198" t="str">
        <f>IF(COUNTIF('AIMS Season 2627'!$C:$C,$B123)&gt;0,"Y","-")</f>
        <v>-</v>
      </c>
      <c r="K123" s="198" t="str">
        <f>IF(COUNTIF('AIMS Season 2728'!$C:$C,$B123)&gt;0,"Y","-")</f>
        <v>-</v>
      </c>
      <c r="L123" s="198">
        <f t="shared" si="3"/>
        <v>3</v>
      </c>
      <c r="M123" s="202" t="s">
        <v>892</v>
      </c>
      <c r="N123" s="203"/>
    </row>
    <row r="124" spans="1:14" x14ac:dyDescent="0.2">
      <c r="A124" s="196">
        <f t="shared" si="2"/>
        <v>122</v>
      </c>
      <c r="B124" s="197" t="s">
        <v>842</v>
      </c>
      <c r="C124" s="197" t="s">
        <v>43</v>
      </c>
      <c r="D124" s="197" t="s">
        <v>20</v>
      </c>
      <c r="E124" s="198" t="s">
        <v>772</v>
      </c>
      <c r="F124" s="202"/>
      <c r="G124" s="198" t="str">
        <f>IF(COUNTIF('AIMS Calendar 2324'!$C:$C,$B124)&gt;0,"Y","-")</f>
        <v>Y</v>
      </c>
      <c r="H124" s="198" t="str">
        <f>IF(COUNTIF('AIMS Season - 24_25'!$C:$C,$B124)&gt;0,"Y","-")</f>
        <v>Y</v>
      </c>
      <c r="I124" s="198" t="str">
        <f>IF(COUNTIF('AIMS Season 2526'!$C:$C,$B124)&gt;0,"Y","-")</f>
        <v>Y</v>
      </c>
      <c r="J124" s="198" t="str">
        <f>IF(COUNTIF('AIMS Season 2627'!$C:$C,$B124)&gt;0,"Y","-")</f>
        <v>Y</v>
      </c>
      <c r="K124" s="198" t="str">
        <f>IF(COUNTIF('AIMS Season 2728'!$C:$C,$B124)&gt;0,"Y","-")</f>
        <v>Y</v>
      </c>
      <c r="L124" s="198">
        <f t="shared" si="3"/>
        <v>5</v>
      </c>
      <c r="M124" s="202" t="s">
        <v>893</v>
      </c>
      <c r="N124" s="203"/>
    </row>
    <row r="125" spans="1:14" x14ac:dyDescent="0.2">
      <c r="A125" s="196">
        <f t="shared" si="2"/>
        <v>123</v>
      </c>
      <c r="B125" s="197" t="s">
        <v>38</v>
      </c>
      <c r="C125" s="197" t="s">
        <v>12</v>
      </c>
      <c r="D125" s="197" t="s">
        <v>13</v>
      </c>
      <c r="E125" s="198" t="s">
        <v>772</v>
      </c>
      <c r="F125" s="202" t="s">
        <v>843</v>
      </c>
      <c r="G125" s="198" t="str">
        <f>IF(COUNTIF('AIMS Calendar 2324'!$C:$C,$B125)&gt;0,"Y","-")</f>
        <v>Y</v>
      </c>
      <c r="H125" s="198" t="str">
        <f>IF(COUNTIF('AIMS Season - 24_25'!$C:$C,$B125)&gt;0,"Y","-")</f>
        <v>Y</v>
      </c>
      <c r="I125" s="198" t="str">
        <f>IF(COUNTIF('AIMS Season 2526'!$C:$C,$B125)&gt;0,"Y","-")</f>
        <v>Y</v>
      </c>
      <c r="J125" s="198" t="str">
        <f>IF(COUNTIF('AIMS Season 2627'!$C:$C,$B125)&gt;0,"Y","-")</f>
        <v>Y</v>
      </c>
      <c r="K125" s="198" t="str">
        <f>IF(COUNTIF('AIMS Season 2728'!$C:$C,$B125)&gt;0,"Y","-")</f>
        <v>Y</v>
      </c>
      <c r="L125" s="198">
        <f t="shared" si="3"/>
        <v>5</v>
      </c>
      <c r="M125" s="202" t="s">
        <v>907</v>
      </c>
      <c r="N125" s="203"/>
    </row>
    <row r="126" spans="1:14" x14ac:dyDescent="0.2">
      <c r="A126" s="196">
        <f t="shared" si="2"/>
        <v>124</v>
      </c>
      <c r="B126" s="197" t="s">
        <v>844</v>
      </c>
      <c r="C126" s="197" t="s">
        <v>394</v>
      </c>
      <c r="D126" s="197" t="s">
        <v>13</v>
      </c>
      <c r="E126" s="198" t="s">
        <v>771</v>
      </c>
      <c r="F126" s="202"/>
      <c r="G126" s="198" t="str">
        <f>IF(COUNTIF('AIMS Calendar 2324'!$C:$C,$B126)&gt;0,"Y","-")</f>
        <v>Y</v>
      </c>
      <c r="H126" s="198" t="str">
        <f>IF(COUNTIF('AIMS Season - 24_25'!$C:$C,$B126)&gt;0,"Y","-")</f>
        <v>Y</v>
      </c>
      <c r="I126" s="198" t="str">
        <f>IF(COUNTIF('AIMS Season 2526'!$C:$C,$B126)&gt;0,"Y","-")</f>
        <v>Y</v>
      </c>
      <c r="J126" s="198" t="str">
        <f>IF(COUNTIF('AIMS Season 2627'!$C:$C,$B126)&gt;0,"Y","-")</f>
        <v>-</v>
      </c>
      <c r="K126" s="198" t="str">
        <f>IF(COUNTIF('AIMS Season 2728'!$C:$C,$B126)&gt;0,"Y","-")</f>
        <v>-</v>
      </c>
      <c r="L126" s="198">
        <f t="shared" si="3"/>
        <v>3</v>
      </c>
      <c r="M126" s="202" t="s">
        <v>894</v>
      </c>
      <c r="N126" s="203"/>
    </row>
    <row r="127" spans="1:14" x14ac:dyDescent="0.2">
      <c r="A127" s="196">
        <f t="shared" si="2"/>
        <v>125</v>
      </c>
      <c r="B127" s="197" t="s">
        <v>845</v>
      </c>
      <c r="C127" s="197" t="s">
        <v>399</v>
      </c>
      <c r="D127" s="197" t="s">
        <v>13</v>
      </c>
      <c r="E127" s="198" t="s">
        <v>772</v>
      </c>
      <c r="F127" s="202" t="s">
        <v>846</v>
      </c>
      <c r="G127" s="198" t="str">
        <f>IF(COUNTIF('AIMS Calendar 2324'!$C:$C,$B127)&gt;0,"Y","-")</f>
        <v>Y</v>
      </c>
      <c r="H127" s="198" t="str">
        <f>IF(COUNTIF('AIMS Season - 24_25'!$C:$C,$B127)&gt;0,"Y","-")</f>
        <v>-</v>
      </c>
      <c r="I127" s="198" t="str">
        <f>IF(COUNTIF('AIMS Season 2526'!$C:$C,$B127)&gt;0,"Y","-")</f>
        <v>Y</v>
      </c>
      <c r="J127" s="198" t="str">
        <f>IF(COUNTIF('AIMS Season 2627'!$C:$C,$B127)&gt;0,"Y","-")</f>
        <v>Y</v>
      </c>
      <c r="K127" s="198" t="str">
        <f>IF(COUNTIF('AIMS Season 2728'!$C:$C,$B127)&gt;0,"Y","-")</f>
        <v>Y</v>
      </c>
      <c r="L127" s="198">
        <f t="shared" si="3"/>
        <v>4</v>
      </c>
      <c r="M127" s="202" t="s">
        <v>335</v>
      </c>
      <c r="N127" s="203"/>
    </row>
    <row r="128" spans="1:14" x14ac:dyDescent="0.2">
      <c r="A128" s="196">
        <f t="shared" si="2"/>
        <v>126</v>
      </c>
      <c r="B128" s="197" t="s">
        <v>847</v>
      </c>
      <c r="C128" s="197" t="s">
        <v>399</v>
      </c>
      <c r="D128" s="197" t="s">
        <v>20</v>
      </c>
      <c r="E128" s="198" t="s">
        <v>772</v>
      </c>
      <c r="F128" s="202"/>
      <c r="G128" s="198" t="str">
        <f>IF(COUNTIF('AIMS Calendar 2324'!$C:$C,$B128)&gt;0,"Y","-")</f>
        <v>Y</v>
      </c>
      <c r="H128" s="198" t="str">
        <f>IF(COUNTIF('AIMS Season - 24_25'!$C:$C,$B128)&gt;0,"Y","-")</f>
        <v>Y</v>
      </c>
      <c r="I128" s="198" t="str">
        <f>IF(COUNTIF('AIMS Season 2526'!$C:$C,$B128)&gt;0,"Y","-")</f>
        <v>Y</v>
      </c>
      <c r="J128" s="198" t="str">
        <f>IF(COUNTIF('AIMS Season 2627'!$C:$C,$B128)&gt;0,"Y","-")</f>
        <v>Y</v>
      </c>
      <c r="K128" s="198" t="str">
        <f>IF(COUNTIF('AIMS Season 2728'!$C:$C,$B128)&gt;0,"Y","-")</f>
        <v>Y</v>
      </c>
      <c r="L128" s="198">
        <f t="shared" si="3"/>
        <v>5</v>
      </c>
      <c r="M128" s="202" t="s">
        <v>340</v>
      </c>
      <c r="N128" s="203"/>
    </row>
    <row r="129" spans="1:14" x14ac:dyDescent="0.2">
      <c r="A129" s="196">
        <f t="shared" si="2"/>
        <v>127</v>
      </c>
      <c r="B129" s="197" t="s">
        <v>234</v>
      </c>
      <c r="C129" s="197" t="s">
        <v>394</v>
      </c>
      <c r="D129" s="197" t="s">
        <v>13</v>
      </c>
      <c r="E129" s="198" t="s">
        <v>771</v>
      </c>
      <c r="F129" s="202"/>
      <c r="G129" s="198" t="str">
        <f>IF(COUNTIF('AIMS Calendar 2324'!$C:$C,$B129)&gt;0,"Y","-")</f>
        <v>-</v>
      </c>
      <c r="H129" s="198" t="str">
        <f>IF(COUNTIF('AIMS Season - 24_25'!$C:$C,$B129)&gt;0,"Y","-")</f>
        <v>-</v>
      </c>
      <c r="I129" s="198" t="str">
        <f>IF(COUNTIF('AIMS Season 2526'!$C:$C,$B129)&gt;0,"Y","-")</f>
        <v>Y</v>
      </c>
      <c r="J129" s="198" t="str">
        <f>IF(COUNTIF('AIMS Season 2627'!$C:$C,$B129)&gt;0,"Y","-")</f>
        <v>-</v>
      </c>
      <c r="K129" s="198" t="str">
        <f>IF(COUNTIF('AIMS Season 2728'!$C:$C,$B129)&gt;0,"Y","-")</f>
        <v>-</v>
      </c>
      <c r="L129" s="198">
        <f t="shared" si="3"/>
        <v>1</v>
      </c>
      <c r="M129" s="202" t="s">
        <v>234</v>
      </c>
      <c r="N129" s="203"/>
    </row>
    <row r="130" spans="1:14" x14ac:dyDescent="0.2">
      <c r="A130" s="196">
        <f t="shared" si="2"/>
        <v>128</v>
      </c>
      <c r="B130" s="197" t="s">
        <v>909</v>
      </c>
      <c r="C130" s="197" t="s">
        <v>25</v>
      </c>
      <c r="D130" s="197" t="s">
        <v>962</v>
      </c>
      <c r="E130" s="198"/>
      <c r="F130" s="202"/>
      <c r="G130" s="198" t="str">
        <f>IF(COUNTIF('AIMS Calendar 2324'!$C:$C,$B130)&gt;0,"Y","-")</f>
        <v>-</v>
      </c>
      <c r="H130" s="198" t="str">
        <f>IF(COUNTIF('AIMS Season - 24_25'!$C:$C,$B130)&gt;0,"Y","-")</f>
        <v>-</v>
      </c>
      <c r="I130" s="198" t="str">
        <f>IF(COUNTIF('AIMS Season 2526'!$C:$C,$B130)&gt;0,"Y","-")</f>
        <v>-</v>
      </c>
      <c r="J130" s="198" t="str">
        <f>IF(COUNTIF('AIMS Season 2627'!$C:$C,$B130)&gt;0,"Y","-")</f>
        <v>-</v>
      </c>
      <c r="K130" s="198" t="str">
        <f>IF(COUNTIF('AIMS Season 2728'!$C:$C,$B130)&gt;0,"Y","-")</f>
        <v>-</v>
      </c>
      <c r="L130" s="198">
        <f t="shared" si="3"/>
        <v>0</v>
      </c>
      <c r="M130" s="202"/>
      <c r="N130" s="203" t="s">
        <v>961</v>
      </c>
    </row>
    <row r="131" spans="1:14" x14ac:dyDescent="0.2">
      <c r="A131" s="196">
        <f t="shared" si="2"/>
        <v>129</v>
      </c>
      <c r="B131" s="197" t="s">
        <v>910</v>
      </c>
      <c r="C131" s="197" t="s">
        <v>399</v>
      </c>
      <c r="D131" s="197" t="s">
        <v>962</v>
      </c>
      <c r="E131" s="198"/>
      <c r="F131" s="202"/>
      <c r="G131" s="198" t="str">
        <f>IF(COUNTIF('AIMS Calendar 2324'!$C:$C,$B131)&gt;0,"Y","-")</f>
        <v>-</v>
      </c>
      <c r="H131" s="198" t="str">
        <f>IF(COUNTIF('AIMS Season - 24_25'!$C:$C,$B131)&gt;0,"Y","-")</f>
        <v>-</v>
      </c>
      <c r="I131" s="198" t="str">
        <f>IF(COUNTIF('AIMS Season 2526'!$C:$C,$B131)&gt;0,"Y","-")</f>
        <v>-</v>
      </c>
      <c r="J131" s="198" t="str">
        <f>IF(COUNTIF('AIMS Season 2627'!$C:$C,$B131)&gt;0,"Y","-")</f>
        <v>-</v>
      </c>
      <c r="K131" s="198" t="str">
        <f>IF(COUNTIF('AIMS Season 2728'!$C:$C,$B131)&gt;0,"Y","-")</f>
        <v>-</v>
      </c>
      <c r="L131" s="198">
        <f t="shared" si="3"/>
        <v>0</v>
      </c>
      <c r="M131" s="202"/>
      <c r="N131" s="203" t="s">
        <v>961</v>
      </c>
    </row>
    <row r="132" spans="1:14" x14ac:dyDescent="0.2">
      <c r="A132" s="196">
        <f t="shared" ref="A132:A181" si="4">ROW()-2</f>
        <v>130</v>
      </c>
      <c r="B132" s="197" t="s">
        <v>911</v>
      </c>
      <c r="C132" s="197" t="s">
        <v>25</v>
      </c>
      <c r="D132" s="197" t="s">
        <v>962</v>
      </c>
      <c r="E132" s="198"/>
      <c r="F132" s="202"/>
      <c r="G132" s="198" t="str">
        <f>IF(COUNTIF('AIMS Calendar 2324'!$C:$C,$B132)&gt;0,"Y","-")</f>
        <v>-</v>
      </c>
      <c r="H132" s="198" t="str">
        <f>IF(COUNTIF('AIMS Season - 24_25'!$C:$C,$B132)&gt;0,"Y","-")</f>
        <v>-</v>
      </c>
      <c r="I132" s="198" t="str">
        <f>IF(COUNTIF('AIMS Season 2526'!$C:$C,$B132)&gt;0,"Y","-")</f>
        <v>-</v>
      </c>
      <c r="J132" s="198" t="str">
        <f>IF(COUNTIF('AIMS Season 2627'!$C:$C,$B132)&gt;0,"Y","-")</f>
        <v>-</v>
      </c>
      <c r="K132" s="198" t="str">
        <f>IF(COUNTIF('AIMS Season 2728'!$C:$C,$B132)&gt;0,"Y","-")</f>
        <v>-</v>
      </c>
      <c r="L132" s="198">
        <f t="shared" ref="L132:L181" si="5">COUNTIF($G132:$K132,"Y")</f>
        <v>0</v>
      </c>
      <c r="M132" s="202"/>
      <c r="N132" s="203" t="s">
        <v>961</v>
      </c>
    </row>
    <row r="133" spans="1:14" x14ac:dyDescent="0.2">
      <c r="A133" s="196">
        <f t="shared" si="4"/>
        <v>131</v>
      </c>
      <c r="B133" s="197" t="s">
        <v>912</v>
      </c>
      <c r="C133" s="197" t="s">
        <v>52</v>
      </c>
      <c r="D133" s="197" t="s">
        <v>962</v>
      </c>
      <c r="E133" s="198"/>
      <c r="F133" s="202"/>
      <c r="G133" s="198" t="str">
        <f>IF(COUNTIF('AIMS Calendar 2324'!$C:$C,$B133)&gt;0,"Y","-")</f>
        <v>-</v>
      </c>
      <c r="H133" s="198" t="str">
        <f>IF(COUNTIF('AIMS Season - 24_25'!$C:$C,$B133)&gt;0,"Y","-")</f>
        <v>-</v>
      </c>
      <c r="I133" s="198" t="str">
        <f>IF(COUNTIF('AIMS Season 2526'!$C:$C,$B133)&gt;0,"Y","-")</f>
        <v>-</v>
      </c>
      <c r="J133" s="198" t="str">
        <f>IF(COUNTIF('AIMS Season 2627'!$C:$C,$B133)&gt;0,"Y","-")</f>
        <v>-</v>
      </c>
      <c r="K133" s="198" t="str">
        <f>IF(COUNTIF('AIMS Season 2728'!$C:$C,$B133)&gt;0,"Y","-")</f>
        <v>-</v>
      </c>
      <c r="L133" s="198">
        <f t="shared" si="5"/>
        <v>0</v>
      </c>
      <c r="M133" s="202"/>
      <c r="N133" s="203" t="s">
        <v>961</v>
      </c>
    </row>
    <row r="134" spans="1:14" x14ac:dyDescent="0.2">
      <c r="A134" s="196">
        <f t="shared" si="4"/>
        <v>132</v>
      </c>
      <c r="B134" s="197" t="s">
        <v>913</v>
      </c>
      <c r="C134" s="197" t="s">
        <v>12</v>
      </c>
      <c r="D134" s="197" t="s">
        <v>962</v>
      </c>
      <c r="E134" s="198"/>
      <c r="F134" s="202"/>
      <c r="G134" s="198" t="str">
        <f>IF(COUNTIF('AIMS Calendar 2324'!$C:$C,$B134)&gt;0,"Y","-")</f>
        <v>-</v>
      </c>
      <c r="H134" s="198" t="str">
        <f>IF(COUNTIF('AIMS Season - 24_25'!$C:$C,$B134)&gt;0,"Y","-")</f>
        <v>-</v>
      </c>
      <c r="I134" s="198" t="str">
        <f>IF(COUNTIF('AIMS Season 2526'!$C:$C,$B134)&gt;0,"Y","-")</f>
        <v>-</v>
      </c>
      <c r="J134" s="198" t="str">
        <f>IF(COUNTIF('AIMS Season 2627'!$C:$C,$B134)&gt;0,"Y","-")</f>
        <v>-</v>
      </c>
      <c r="K134" s="198" t="str">
        <f>IF(COUNTIF('AIMS Season 2728'!$C:$C,$B134)&gt;0,"Y","-")</f>
        <v>-</v>
      </c>
      <c r="L134" s="198">
        <f t="shared" si="5"/>
        <v>0</v>
      </c>
      <c r="M134" s="202"/>
      <c r="N134" s="203" t="s">
        <v>961</v>
      </c>
    </row>
    <row r="135" spans="1:14" x14ac:dyDescent="0.2">
      <c r="A135" s="196">
        <f t="shared" si="4"/>
        <v>133</v>
      </c>
      <c r="B135" s="197" t="s">
        <v>914</v>
      </c>
      <c r="C135" s="197" t="s">
        <v>25</v>
      </c>
      <c r="D135" s="197" t="s">
        <v>962</v>
      </c>
      <c r="E135" s="198"/>
      <c r="F135" s="202"/>
      <c r="G135" s="198" t="str">
        <f>IF(COUNTIF('AIMS Calendar 2324'!$C:$C,$B135)&gt;0,"Y","-")</f>
        <v>-</v>
      </c>
      <c r="H135" s="198" t="str">
        <f>IF(COUNTIF('AIMS Season - 24_25'!$C:$C,$B135)&gt;0,"Y","-")</f>
        <v>-</v>
      </c>
      <c r="I135" s="198" t="str">
        <f>IF(COUNTIF('AIMS Season 2526'!$C:$C,$B135)&gt;0,"Y","-")</f>
        <v>-</v>
      </c>
      <c r="J135" s="198" t="str">
        <f>IF(COUNTIF('AIMS Season 2627'!$C:$C,$B135)&gt;0,"Y","-")</f>
        <v>-</v>
      </c>
      <c r="K135" s="198" t="str">
        <f>IF(COUNTIF('AIMS Season 2728'!$C:$C,$B135)&gt;0,"Y","-")</f>
        <v>-</v>
      </c>
      <c r="L135" s="198">
        <f t="shared" si="5"/>
        <v>0</v>
      </c>
      <c r="M135" s="202"/>
      <c r="N135" s="203" t="s">
        <v>961</v>
      </c>
    </row>
    <row r="136" spans="1:14" x14ac:dyDescent="0.2">
      <c r="A136" s="196">
        <f t="shared" si="4"/>
        <v>134</v>
      </c>
      <c r="B136" s="197" t="s">
        <v>915</v>
      </c>
      <c r="C136" s="197" t="s">
        <v>43</v>
      </c>
      <c r="D136" s="197" t="s">
        <v>962</v>
      </c>
      <c r="E136" s="198"/>
      <c r="F136" s="202"/>
      <c r="G136" s="198" t="str">
        <f>IF(COUNTIF('AIMS Calendar 2324'!$C:$C,$B136)&gt;0,"Y","-")</f>
        <v>-</v>
      </c>
      <c r="H136" s="198" t="str">
        <f>IF(COUNTIF('AIMS Season - 24_25'!$C:$C,$B136)&gt;0,"Y","-")</f>
        <v>-</v>
      </c>
      <c r="I136" s="198" t="str">
        <f>IF(COUNTIF('AIMS Season 2526'!$C:$C,$B136)&gt;0,"Y","-")</f>
        <v>-</v>
      </c>
      <c r="J136" s="198" t="str">
        <f>IF(COUNTIF('AIMS Season 2627'!$C:$C,$B136)&gt;0,"Y","-")</f>
        <v>-</v>
      </c>
      <c r="K136" s="198" t="str">
        <f>IF(COUNTIF('AIMS Season 2728'!$C:$C,$B136)&gt;0,"Y","-")</f>
        <v>-</v>
      </c>
      <c r="L136" s="198">
        <f t="shared" si="5"/>
        <v>0</v>
      </c>
      <c r="M136" s="202"/>
      <c r="N136" s="203" t="s">
        <v>961</v>
      </c>
    </row>
    <row r="137" spans="1:14" x14ac:dyDescent="0.2">
      <c r="A137" s="196">
        <f t="shared" si="4"/>
        <v>135</v>
      </c>
      <c r="B137" s="197" t="s">
        <v>916</v>
      </c>
      <c r="C137" s="197" t="s">
        <v>394</v>
      </c>
      <c r="D137" s="197" t="s">
        <v>962</v>
      </c>
      <c r="E137" s="198"/>
      <c r="F137" s="202"/>
      <c r="G137" s="198" t="str">
        <f>IF(COUNTIF('AIMS Calendar 2324'!$C:$C,$B137)&gt;0,"Y","-")</f>
        <v>-</v>
      </c>
      <c r="H137" s="198" t="str">
        <f>IF(COUNTIF('AIMS Season - 24_25'!$C:$C,$B137)&gt;0,"Y","-")</f>
        <v>-</v>
      </c>
      <c r="I137" s="198" t="str">
        <f>IF(COUNTIF('AIMS Season 2526'!$C:$C,$B137)&gt;0,"Y","-")</f>
        <v>-</v>
      </c>
      <c r="J137" s="198" t="str">
        <f>IF(COUNTIF('AIMS Season 2627'!$C:$C,$B137)&gt;0,"Y","-")</f>
        <v>-</v>
      </c>
      <c r="K137" s="198" t="str">
        <f>IF(COUNTIF('AIMS Season 2728'!$C:$C,$B137)&gt;0,"Y","-")</f>
        <v>-</v>
      </c>
      <c r="L137" s="198">
        <f t="shared" si="5"/>
        <v>0</v>
      </c>
      <c r="M137" s="202"/>
      <c r="N137" s="203" t="s">
        <v>961</v>
      </c>
    </row>
    <row r="138" spans="1:14" x14ac:dyDescent="0.2">
      <c r="A138" s="196">
        <f t="shared" si="4"/>
        <v>136</v>
      </c>
      <c r="B138" s="197" t="s">
        <v>917</v>
      </c>
      <c r="C138" s="197" t="s">
        <v>399</v>
      </c>
      <c r="D138" s="197" t="s">
        <v>962</v>
      </c>
      <c r="E138" s="198"/>
      <c r="F138" s="202"/>
      <c r="G138" s="198" t="str">
        <f>IF(COUNTIF('AIMS Calendar 2324'!$C:$C,$B138)&gt;0,"Y","-")</f>
        <v>-</v>
      </c>
      <c r="H138" s="198" t="str">
        <f>IF(COUNTIF('AIMS Season - 24_25'!$C:$C,$B138)&gt;0,"Y","-")</f>
        <v>-</v>
      </c>
      <c r="I138" s="198" t="str">
        <f>IF(COUNTIF('AIMS Season 2526'!$C:$C,$B138)&gt;0,"Y","-")</f>
        <v>-</v>
      </c>
      <c r="J138" s="198" t="str">
        <f>IF(COUNTIF('AIMS Season 2627'!$C:$C,$B138)&gt;0,"Y","-")</f>
        <v>-</v>
      </c>
      <c r="K138" s="198" t="str">
        <f>IF(COUNTIF('AIMS Season 2728'!$C:$C,$B138)&gt;0,"Y","-")</f>
        <v>-</v>
      </c>
      <c r="L138" s="198">
        <f t="shared" si="5"/>
        <v>0</v>
      </c>
      <c r="M138" s="202"/>
      <c r="N138" s="203" t="s">
        <v>961</v>
      </c>
    </row>
    <row r="139" spans="1:14" x14ac:dyDescent="0.2">
      <c r="A139" s="196">
        <f t="shared" si="4"/>
        <v>137</v>
      </c>
      <c r="B139" s="197" t="s">
        <v>918</v>
      </c>
      <c r="C139" s="197" t="s">
        <v>12</v>
      </c>
      <c r="D139" s="197" t="s">
        <v>962</v>
      </c>
      <c r="E139" s="198"/>
      <c r="F139" s="202"/>
      <c r="G139" s="198" t="str">
        <f>IF(COUNTIF('AIMS Calendar 2324'!$C:$C,$B139)&gt;0,"Y","-")</f>
        <v>-</v>
      </c>
      <c r="H139" s="198" t="str">
        <f>IF(COUNTIF('AIMS Season - 24_25'!$C:$C,$B139)&gt;0,"Y","-")</f>
        <v>-</v>
      </c>
      <c r="I139" s="198" t="str">
        <f>IF(COUNTIF('AIMS Season 2526'!$C:$C,$B139)&gt;0,"Y","-")</f>
        <v>-</v>
      </c>
      <c r="J139" s="198" t="str">
        <f>IF(COUNTIF('AIMS Season 2627'!$C:$C,$B139)&gt;0,"Y","-")</f>
        <v>-</v>
      </c>
      <c r="K139" s="198" t="str">
        <f>IF(COUNTIF('AIMS Season 2728'!$C:$C,$B139)&gt;0,"Y","-")</f>
        <v>-</v>
      </c>
      <c r="L139" s="198">
        <f t="shared" si="5"/>
        <v>0</v>
      </c>
      <c r="M139" s="202"/>
      <c r="N139" s="203" t="s">
        <v>961</v>
      </c>
    </row>
    <row r="140" spans="1:14" x14ac:dyDescent="0.2">
      <c r="A140" s="196">
        <f t="shared" si="4"/>
        <v>138</v>
      </c>
      <c r="B140" s="197" t="s">
        <v>919</v>
      </c>
      <c r="C140" s="197" t="s">
        <v>43</v>
      </c>
      <c r="D140" s="197" t="s">
        <v>962</v>
      </c>
      <c r="E140" s="198"/>
      <c r="F140" s="202"/>
      <c r="G140" s="198" t="str">
        <f>IF(COUNTIF('AIMS Calendar 2324'!$C:$C,$B140)&gt;0,"Y","-")</f>
        <v>-</v>
      </c>
      <c r="H140" s="198" t="str">
        <f>IF(COUNTIF('AIMS Season - 24_25'!$C:$C,$B140)&gt;0,"Y","-")</f>
        <v>-</v>
      </c>
      <c r="I140" s="198" t="str">
        <f>IF(COUNTIF('AIMS Season 2526'!$C:$C,$B140)&gt;0,"Y","-")</f>
        <v>-</v>
      </c>
      <c r="J140" s="198" t="str">
        <f>IF(COUNTIF('AIMS Season 2627'!$C:$C,$B140)&gt;0,"Y","-")</f>
        <v>-</v>
      </c>
      <c r="K140" s="198" t="str">
        <f>IF(COUNTIF('AIMS Season 2728'!$C:$C,$B140)&gt;0,"Y","-")</f>
        <v>-</v>
      </c>
      <c r="L140" s="198">
        <f t="shared" si="5"/>
        <v>0</v>
      </c>
      <c r="M140" s="202"/>
      <c r="N140" s="203" t="s">
        <v>961</v>
      </c>
    </row>
    <row r="141" spans="1:14" x14ac:dyDescent="0.2">
      <c r="A141" s="196">
        <f t="shared" si="4"/>
        <v>139</v>
      </c>
      <c r="B141" s="197" t="s">
        <v>920</v>
      </c>
      <c r="C141" s="197" t="s">
        <v>12</v>
      </c>
      <c r="D141" s="197" t="s">
        <v>962</v>
      </c>
      <c r="E141" s="198"/>
      <c r="F141" s="202"/>
      <c r="G141" s="198" t="str">
        <f>IF(COUNTIF('AIMS Calendar 2324'!$C:$C,$B141)&gt;0,"Y","-")</f>
        <v>-</v>
      </c>
      <c r="H141" s="198" t="str">
        <f>IF(COUNTIF('AIMS Season - 24_25'!$C:$C,$B141)&gt;0,"Y","-")</f>
        <v>-</v>
      </c>
      <c r="I141" s="198" t="str">
        <f>IF(COUNTIF('AIMS Season 2526'!$C:$C,$B141)&gt;0,"Y","-")</f>
        <v>-</v>
      </c>
      <c r="J141" s="198" t="str">
        <f>IF(COUNTIF('AIMS Season 2627'!$C:$C,$B141)&gt;0,"Y","-")</f>
        <v>-</v>
      </c>
      <c r="K141" s="198" t="str">
        <f>IF(COUNTIF('AIMS Season 2728'!$C:$C,$B141)&gt;0,"Y","-")</f>
        <v>-</v>
      </c>
      <c r="L141" s="198">
        <f t="shared" si="5"/>
        <v>0</v>
      </c>
      <c r="M141" s="202"/>
      <c r="N141" s="203" t="s">
        <v>961</v>
      </c>
    </row>
    <row r="142" spans="1:14" x14ac:dyDescent="0.2">
      <c r="A142" s="196">
        <f t="shared" si="4"/>
        <v>140</v>
      </c>
      <c r="B142" s="197" t="s">
        <v>921</v>
      </c>
      <c r="C142" s="197" t="s">
        <v>43</v>
      </c>
      <c r="D142" s="197" t="s">
        <v>962</v>
      </c>
      <c r="E142" s="198"/>
      <c r="F142" s="202"/>
      <c r="G142" s="198" t="str">
        <f>IF(COUNTIF('AIMS Calendar 2324'!$C:$C,$B142)&gt;0,"Y","-")</f>
        <v>-</v>
      </c>
      <c r="H142" s="198" t="str">
        <f>IF(COUNTIF('AIMS Season - 24_25'!$C:$C,$B142)&gt;0,"Y","-")</f>
        <v>-</v>
      </c>
      <c r="I142" s="198" t="str">
        <f>IF(COUNTIF('AIMS Season 2526'!$C:$C,$B142)&gt;0,"Y","-")</f>
        <v>-</v>
      </c>
      <c r="J142" s="198" t="str">
        <f>IF(COUNTIF('AIMS Season 2627'!$C:$C,$B142)&gt;0,"Y","-")</f>
        <v>-</v>
      </c>
      <c r="K142" s="198" t="str">
        <f>IF(COUNTIF('AIMS Season 2728'!$C:$C,$B142)&gt;0,"Y","-")</f>
        <v>-</v>
      </c>
      <c r="L142" s="198">
        <f t="shared" si="5"/>
        <v>0</v>
      </c>
      <c r="M142" s="202"/>
      <c r="N142" s="203" t="s">
        <v>961</v>
      </c>
    </row>
    <row r="143" spans="1:14" x14ac:dyDescent="0.2">
      <c r="A143" s="196">
        <f t="shared" si="4"/>
        <v>141</v>
      </c>
      <c r="B143" s="197" t="s">
        <v>922</v>
      </c>
      <c r="C143" s="197" t="s">
        <v>12</v>
      </c>
      <c r="D143" s="197" t="s">
        <v>962</v>
      </c>
      <c r="E143" s="198"/>
      <c r="F143" s="202"/>
      <c r="G143" s="198" t="str">
        <f>IF(COUNTIF('AIMS Calendar 2324'!$C:$C,$B143)&gt;0,"Y","-")</f>
        <v>-</v>
      </c>
      <c r="H143" s="198" t="str">
        <f>IF(COUNTIF('AIMS Season - 24_25'!$C:$C,$B143)&gt;0,"Y","-")</f>
        <v>-</v>
      </c>
      <c r="I143" s="198" t="str">
        <f>IF(COUNTIF('AIMS Season 2526'!$C:$C,$B143)&gt;0,"Y","-")</f>
        <v>-</v>
      </c>
      <c r="J143" s="198" t="str">
        <f>IF(COUNTIF('AIMS Season 2627'!$C:$C,$B143)&gt;0,"Y","-")</f>
        <v>-</v>
      </c>
      <c r="K143" s="198" t="str">
        <f>IF(COUNTIF('AIMS Season 2728'!$C:$C,$B143)&gt;0,"Y","-")</f>
        <v>-</v>
      </c>
      <c r="L143" s="198">
        <f t="shared" si="5"/>
        <v>0</v>
      </c>
      <c r="M143" s="202"/>
      <c r="N143" s="203" t="s">
        <v>961</v>
      </c>
    </row>
    <row r="144" spans="1:14" x14ac:dyDescent="0.2">
      <c r="A144" s="196">
        <f t="shared" si="4"/>
        <v>142</v>
      </c>
      <c r="B144" s="197" t="s">
        <v>923</v>
      </c>
      <c r="C144" s="197" t="s">
        <v>12</v>
      </c>
      <c r="D144" s="197" t="s">
        <v>962</v>
      </c>
      <c r="E144" s="198"/>
      <c r="F144" s="202"/>
      <c r="G144" s="198" t="str">
        <f>IF(COUNTIF('AIMS Calendar 2324'!$C:$C,$B144)&gt;0,"Y","-")</f>
        <v>-</v>
      </c>
      <c r="H144" s="198" t="str">
        <f>IF(COUNTIF('AIMS Season - 24_25'!$C:$C,$B144)&gt;0,"Y","-")</f>
        <v>-</v>
      </c>
      <c r="I144" s="198" t="str">
        <f>IF(COUNTIF('AIMS Season 2526'!$C:$C,$B144)&gt;0,"Y","-")</f>
        <v>-</v>
      </c>
      <c r="J144" s="198" t="str">
        <f>IF(COUNTIF('AIMS Season 2627'!$C:$C,$B144)&gt;0,"Y","-")</f>
        <v>-</v>
      </c>
      <c r="K144" s="198" t="str">
        <f>IF(COUNTIF('AIMS Season 2728'!$C:$C,$B144)&gt;0,"Y","-")</f>
        <v>-</v>
      </c>
      <c r="L144" s="198">
        <f t="shared" si="5"/>
        <v>0</v>
      </c>
      <c r="M144" s="202"/>
      <c r="N144" s="203" t="s">
        <v>961</v>
      </c>
    </row>
    <row r="145" spans="1:14" x14ac:dyDescent="0.2">
      <c r="A145" s="196">
        <f t="shared" si="4"/>
        <v>143</v>
      </c>
      <c r="B145" s="197" t="s">
        <v>924</v>
      </c>
      <c r="C145" s="197" t="s">
        <v>43</v>
      </c>
      <c r="D145" s="197" t="s">
        <v>962</v>
      </c>
      <c r="E145" s="198"/>
      <c r="F145" s="202"/>
      <c r="G145" s="198" t="str">
        <f>IF(COUNTIF('AIMS Calendar 2324'!$C:$C,$B145)&gt;0,"Y","-")</f>
        <v>-</v>
      </c>
      <c r="H145" s="198" t="str">
        <f>IF(COUNTIF('AIMS Season - 24_25'!$C:$C,$B145)&gt;0,"Y","-")</f>
        <v>-</v>
      </c>
      <c r="I145" s="198" t="str">
        <f>IF(COUNTIF('AIMS Season 2526'!$C:$C,$B145)&gt;0,"Y","-")</f>
        <v>-</v>
      </c>
      <c r="J145" s="198" t="str">
        <f>IF(COUNTIF('AIMS Season 2627'!$C:$C,$B145)&gt;0,"Y","-")</f>
        <v>-</v>
      </c>
      <c r="K145" s="198" t="str">
        <f>IF(COUNTIF('AIMS Season 2728'!$C:$C,$B145)&gt;0,"Y","-")</f>
        <v>-</v>
      </c>
      <c r="L145" s="198">
        <f t="shared" si="5"/>
        <v>0</v>
      </c>
      <c r="M145" s="202"/>
      <c r="N145" s="203" t="s">
        <v>961</v>
      </c>
    </row>
    <row r="146" spans="1:14" x14ac:dyDescent="0.2">
      <c r="A146" s="196">
        <f t="shared" si="4"/>
        <v>144</v>
      </c>
      <c r="B146" s="197" t="s">
        <v>925</v>
      </c>
      <c r="C146" s="197" t="s">
        <v>43</v>
      </c>
      <c r="D146" s="197" t="s">
        <v>962</v>
      </c>
      <c r="E146" s="198"/>
      <c r="F146" s="202"/>
      <c r="G146" s="198" t="str">
        <f>IF(COUNTIF('AIMS Calendar 2324'!$C:$C,$B146)&gt;0,"Y","-")</f>
        <v>-</v>
      </c>
      <c r="H146" s="198" t="str">
        <f>IF(COUNTIF('AIMS Season - 24_25'!$C:$C,$B146)&gt;0,"Y","-")</f>
        <v>-</v>
      </c>
      <c r="I146" s="198" t="str">
        <f>IF(COUNTIF('AIMS Season 2526'!$C:$C,$B146)&gt;0,"Y","-")</f>
        <v>-</v>
      </c>
      <c r="J146" s="198" t="str">
        <f>IF(COUNTIF('AIMS Season 2627'!$C:$C,$B146)&gt;0,"Y","-")</f>
        <v>-</v>
      </c>
      <c r="K146" s="198" t="str">
        <f>IF(COUNTIF('AIMS Season 2728'!$C:$C,$B146)&gt;0,"Y","-")</f>
        <v>-</v>
      </c>
      <c r="L146" s="198">
        <f t="shared" si="5"/>
        <v>0</v>
      </c>
      <c r="M146" s="202"/>
      <c r="N146" s="203" t="s">
        <v>961</v>
      </c>
    </row>
    <row r="147" spans="1:14" x14ac:dyDescent="0.2">
      <c r="A147" s="196">
        <f t="shared" si="4"/>
        <v>145</v>
      </c>
      <c r="B147" s="197" t="s">
        <v>926</v>
      </c>
      <c r="C147" s="197" t="s">
        <v>12</v>
      </c>
      <c r="D147" s="197" t="s">
        <v>962</v>
      </c>
      <c r="E147" s="198"/>
      <c r="F147" s="202"/>
      <c r="G147" s="198" t="str">
        <f>IF(COUNTIF('AIMS Calendar 2324'!$C:$C,$B147)&gt;0,"Y","-")</f>
        <v>-</v>
      </c>
      <c r="H147" s="198" t="str">
        <f>IF(COUNTIF('AIMS Season - 24_25'!$C:$C,$B147)&gt;0,"Y","-")</f>
        <v>-</v>
      </c>
      <c r="I147" s="198" t="str">
        <f>IF(COUNTIF('AIMS Season 2526'!$C:$C,$B147)&gt;0,"Y","-")</f>
        <v>-</v>
      </c>
      <c r="J147" s="198" t="str">
        <f>IF(COUNTIF('AIMS Season 2627'!$C:$C,$B147)&gt;0,"Y","-")</f>
        <v>-</v>
      </c>
      <c r="K147" s="198" t="str">
        <f>IF(COUNTIF('AIMS Season 2728'!$C:$C,$B147)&gt;0,"Y","-")</f>
        <v>-</v>
      </c>
      <c r="L147" s="198">
        <f t="shared" si="5"/>
        <v>0</v>
      </c>
      <c r="M147" s="202"/>
      <c r="N147" s="203" t="s">
        <v>961</v>
      </c>
    </row>
    <row r="148" spans="1:14" x14ac:dyDescent="0.2">
      <c r="A148" s="196">
        <f t="shared" si="4"/>
        <v>146</v>
      </c>
      <c r="B148" s="197" t="s">
        <v>927</v>
      </c>
      <c r="C148" s="197" t="s">
        <v>399</v>
      </c>
      <c r="D148" s="197" t="s">
        <v>962</v>
      </c>
      <c r="E148" s="198"/>
      <c r="F148" s="202"/>
      <c r="G148" s="198" t="str">
        <f>IF(COUNTIF('AIMS Calendar 2324'!$C:$C,$B148)&gt;0,"Y","-")</f>
        <v>-</v>
      </c>
      <c r="H148" s="198" t="str">
        <f>IF(COUNTIF('AIMS Season - 24_25'!$C:$C,$B148)&gt;0,"Y","-")</f>
        <v>-</v>
      </c>
      <c r="I148" s="198" t="str">
        <f>IF(COUNTIF('AIMS Season 2526'!$C:$C,$B148)&gt;0,"Y","-")</f>
        <v>-</v>
      </c>
      <c r="J148" s="198" t="str">
        <f>IF(COUNTIF('AIMS Season 2627'!$C:$C,$B148)&gt;0,"Y","-")</f>
        <v>-</v>
      </c>
      <c r="K148" s="198" t="str">
        <f>IF(COUNTIF('AIMS Season 2728'!$C:$C,$B148)&gt;0,"Y","-")</f>
        <v>-</v>
      </c>
      <c r="L148" s="198">
        <f t="shared" si="5"/>
        <v>0</v>
      </c>
      <c r="M148" s="202"/>
      <c r="N148" s="203" t="s">
        <v>961</v>
      </c>
    </row>
    <row r="149" spans="1:14" x14ac:dyDescent="0.2">
      <c r="A149" s="196">
        <f t="shared" si="4"/>
        <v>147</v>
      </c>
      <c r="B149" s="197" t="s">
        <v>928</v>
      </c>
      <c r="C149" s="197" t="s">
        <v>43</v>
      </c>
      <c r="D149" s="197" t="s">
        <v>962</v>
      </c>
      <c r="E149" s="198"/>
      <c r="F149" s="202"/>
      <c r="G149" s="198" t="str">
        <f>IF(COUNTIF('AIMS Calendar 2324'!$C:$C,$B149)&gt;0,"Y","-")</f>
        <v>-</v>
      </c>
      <c r="H149" s="198" t="str">
        <f>IF(COUNTIF('AIMS Season - 24_25'!$C:$C,$B149)&gt;0,"Y","-")</f>
        <v>-</v>
      </c>
      <c r="I149" s="198" t="str">
        <f>IF(COUNTIF('AIMS Season 2526'!$C:$C,$B149)&gt;0,"Y","-")</f>
        <v>-</v>
      </c>
      <c r="J149" s="198" t="str">
        <f>IF(COUNTIF('AIMS Season 2627'!$C:$C,$B149)&gt;0,"Y","-")</f>
        <v>-</v>
      </c>
      <c r="K149" s="198" t="str">
        <f>IF(COUNTIF('AIMS Season 2728'!$C:$C,$B149)&gt;0,"Y","-")</f>
        <v>-</v>
      </c>
      <c r="L149" s="198">
        <f t="shared" si="5"/>
        <v>0</v>
      </c>
      <c r="M149" s="202"/>
      <c r="N149" s="203" t="s">
        <v>961</v>
      </c>
    </row>
    <row r="150" spans="1:14" x14ac:dyDescent="0.2">
      <c r="A150" s="196">
        <f t="shared" si="4"/>
        <v>148</v>
      </c>
      <c r="B150" s="197" t="s">
        <v>929</v>
      </c>
      <c r="C150" s="197" t="s">
        <v>52</v>
      </c>
      <c r="D150" s="197" t="s">
        <v>962</v>
      </c>
      <c r="E150" s="198"/>
      <c r="F150" s="202"/>
      <c r="G150" s="198" t="str">
        <f>IF(COUNTIF('AIMS Calendar 2324'!$C:$C,$B150)&gt;0,"Y","-")</f>
        <v>-</v>
      </c>
      <c r="H150" s="198" t="str">
        <f>IF(COUNTIF('AIMS Season - 24_25'!$C:$C,$B150)&gt;0,"Y","-")</f>
        <v>-</v>
      </c>
      <c r="I150" s="198" t="str">
        <f>IF(COUNTIF('AIMS Season 2526'!$C:$C,$B150)&gt;0,"Y","-")</f>
        <v>-</v>
      </c>
      <c r="J150" s="198" t="str">
        <f>IF(COUNTIF('AIMS Season 2627'!$C:$C,$B150)&gt;0,"Y","-")</f>
        <v>-</v>
      </c>
      <c r="K150" s="198" t="str">
        <f>IF(COUNTIF('AIMS Season 2728'!$C:$C,$B150)&gt;0,"Y","-")</f>
        <v>-</v>
      </c>
      <c r="L150" s="198">
        <f t="shared" si="5"/>
        <v>0</v>
      </c>
      <c r="M150" s="202"/>
      <c r="N150" s="203" t="s">
        <v>961</v>
      </c>
    </row>
    <row r="151" spans="1:14" x14ac:dyDescent="0.2">
      <c r="A151" s="196">
        <f t="shared" si="4"/>
        <v>149</v>
      </c>
      <c r="B151" s="197" t="s">
        <v>930</v>
      </c>
      <c r="C151" s="197" t="s">
        <v>25</v>
      </c>
      <c r="D151" s="197" t="s">
        <v>962</v>
      </c>
      <c r="E151" s="198"/>
      <c r="F151" s="202"/>
      <c r="G151" s="198" t="str">
        <f>IF(COUNTIF('AIMS Calendar 2324'!$C:$C,$B151)&gt;0,"Y","-")</f>
        <v>-</v>
      </c>
      <c r="H151" s="198" t="str">
        <f>IF(COUNTIF('AIMS Season - 24_25'!$C:$C,$B151)&gt;0,"Y","-")</f>
        <v>-</v>
      </c>
      <c r="I151" s="198" t="str">
        <f>IF(COUNTIF('AIMS Season 2526'!$C:$C,$B151)&gt;0,"Y","-")</f>
        <v>-</v>
      </c>
      <c r="J151" s="198" t="str">
        <f>IF(COUNTIF('AIMS Season 2627'!$C:$C,$B151)&gt;0,"Y","-")</f>
        <v>-</v>
      </c>
      <c r="K151" s="198" t="str">
        <f>IF(COUNTIF('AIMS Season 2728'!$C:$C,$B151)&gt;0,"Y","-")</f>
        <v>-</v>
      </c>
      <c r="L151" s="198">
        <f t="shared" si="5"/>
        <v>0</v>
      </c>
      <c r="M151" s="202"/>
      <c r="N151" s="203" t="s">
        <v>961</v>
      </c>
    </row>
    <row r="152" spans="1:14" x14ac:dyDescent="0.2">
      <c r="A152" s="196">
        <f t="shared" si="4"/>
        <v>150</v>
      </c>
      <c r="B152" s="197" t="s">
        <v>931</v>
      </c>
      <c r="C152" s="197" t="s">
        <v>43</v>
      </c>
      <c r="D152" s="197" t="s">
        <v>962</v>
      </c>
      <c r="E152" s="198"/>
      <c r="F152" s="202"/>
      <c r="G152" s="198" t="str">
        <f>IF(COUNTIF('AIMS Calendar 2324'!$C:$C,$B152)&gt;0,"Y","-")</f>
        <v>-</v>
      </c>
      <c r="H152" s="198" t="str">
        <f>IF(COUNTIF('AIMS Season - 24_25'!$C:$C,$B152)&gt;0,"Y","-")</f>
        <v>-</v>
      </c>
      <c r="I152" s="198" t="str">
        <f>IF(COUNTIF('AIMS Season 2526'!$C:$C,$B152)&gt;0,"Y","-")</f>
        <v>-</v>
      </c>
      <c r="J152" s="198" t="str">
        <f>IF(COUNTIF('AIMS Season 2627'!$C:$C,$B152)&gt;0,"Y","-")</f>
        <v>-</v>
      </c>
      <c r="K152" s="198" t="str">
        <f>IF(COUNTIF('AIMS Season 2728'!$C:$C,$B152)&gt;0,"Y","-")</f>
        <v>-</v>
      </c>
      <c r="L152" s="198">
        <f t="shared" si="5"/>
        <v>0</v>
      </c>
      <c r="M152" s="202"/>
      <c r="N152" s="203" t="s">
        <v>961</v>
      </c>
    </row>
    <row r="153" spans="1:14" x14ac:dyDescent="0.2">
      <c r="A153" s="196">
        <f t="shared" si="4"/>
        <v>151</v>
      </c>
      <c r="B153" s="197" t="s">
        <v>932</v>
      </c>
      <c r="C153" s="197" t="s">
        <v>394</v>
      </c>
      <c r="D153" s="197" t="s">
        <v>962</v>
      </c>
      <c r="E153" s="198"/>
      <c r="F153" s="202"/>
      <c r="G153" s="198" t="str">
        <f>IF(COUNTIF('AIMS Calendar 2324'!$C:$C,$B153)&gt;0,"Y","-")</f>
        <v>-</v>
      </c>
      <c r="H153" s="198" t="str">
        <f>IF(COUNTIF('AIMS Season - 24_25'!$C:$C,$B153)&gt;0,"Y","-")</f>
        <v>-</v>
      </c>
      <c r="I153" s="198" t="str">
        <f>IF(COUNTIF('AIMS Season 2526'!$C:$C,$B153)&gt;0,"Y","-")</f>
        <v>-</v>
      </c>
      <c r="J153" s="198" t="str">
        <f>IF(COUNTIF('AIMS Season 2627'!$C:$C,$B153)&gt;0,"Y","-")</f>
        <v>-</v>
      </c>
      <c r="K153" s="198" t="str">
        <f>IF(COUNTIF('AIMS Season 2728'!$C:$C,$B153)&gt;0,"Y","-")</f>
        <v>-</v>
      </c>
      <c r="L153" s="198">
        <f t="shared" si="5"/>
        <v>0</v>
      </c>
      <c r="M153" s="202"/>
      <c r="N153" s="203" t="s">
        <v>961</v>
      </c>
    </row>
    <row r="154" spans="1:14" x14ac:dyDescent="0.2">
      <c r="A154" s="196">
        <f t="shared" si="4"/>
        <v>152</v>
      </c>
      <c r="B154" s="197" t="s">
        <v>933</v>
      </c>
      <c r="C154" s="197" t="s">
        <v>394</v>
      </c>
      <c r="D154" s="197" t="s">
        <v>962</v>
      </c>
      <c r="E154" s="198"/>
      <c r="F154" s="202"/>
      <c r="G154" s="198" t="str">
        <f>IF(COUNTIF('AIMS Calendar 2324'!$C:$C,$B154)&gt;0,"Y","-")</f>
        <v>-</v>
      </c>
      <c r="H154" s="198" t="str">
        <f>IF(COUNTIF('AIMS Season - 24_25'!$C:$C,$B154)&gt;0,"Y","-")</f>
        <v>-</v>
      </c>
      <c r="I154" s="198" t="str">
        <f>IF(COUNTIF('AIMS Season 2526'!$C:$C,$B154)&gt;0,"Y","-")</f>
        <v>-</v>
      </c>
      <c r="J154" s="198" t="str">
        <f>IF(COUNTIF('AIMS Season 2627'!$C:$C,$B154)&gt;0,"Y","-")</f>
        <v>-</v>
      </c>
      <c r="K154" s="198" t="str">
        <f>IF(COUNTIF('AIMS Season 2728'!$C:$C,$B154)&gt;0,"Y","-")</f>
        <v>-</v>
      </c>
      <c r="L154" s="198">
        <f t="shared" si="5"/>
        <v>0</v>
      </c>
      <c r="M154" s="202"/>
      <c r="N154" s="203" t="s">
        <v>961</v>
      </c>
    </row>
    <row r="155" spans="1:14" x14ac:dyDescent="0.2">
      <c r="A155" s="196">
        <f t="shared" si="4"/>
        <v>153</v>
      </c>
      <c r="B155" s="197" t="s">
        <v>934</v>
      </c>
      <c r="C155" s="197" t="s">
        <v>43</v>
      </c>
      <c r="D155" s="197" t="s">
        <v>962</v>
      </c>
      <c r="E155" s="198"/>
      <c r="F155" s="202"/>
      <c r="G155" s="198" t="str">
        <f>IF(COUNTIF('AIMS Calendar 2324'!$C:$C,$B155)&gt;0,"Y","-")</f>
        <v>-</v>
      </c>
      <c r="H155" s="198" t="str">
        <f>IF(COUNTIF('AIMS Season - 24_25'!$C:$C,$B155)&gt;0,"Y","-")</f>
        <v>-</v>
      </c>
      <c r="I155" s="198" t="str">
        <f>IF(COUNTIF('AIMS Season 2526'!$C:$C,$B155)&gt;0,"Y","-")</f>
        <v>-</v>
      </c>
      <c r="J155" s="198" t="str">
        <f>IF(COUNTIF('AIMS Season 2627'!$C:$C,$B155)&gt;0,"Y","-")</f>
        <v>-</v>
      </c>
      <c r="K155" s="198" t="str">
        <f>IF(COUNTIF('AIMS Season 2728'!$C:$C,$B155)&gt;0,"Y","-")</f>
        <v>-</v>
      </c>
      <c r="L155" s="198">
        <f t="shared" si="5"/>
        <v>0</v>
      </c>
      <c r="M155" s="202"/>
      <c r="N155" s="203" t="s">
        <v>961</v>
      </c>
    </row>
    <row r="156" spans="1:14" x14ac:dyDescent="0.2">
      <c r="A156" s="196">
        <f t="shared" si="4"/>
        <v>154</v>
      </c>
      <c r="B156" s="197" t="s">
        <v>935</v>
      </c>
      <c r="C156" s="197" t="s">
        <v>25</v>
      </c>
      <c r="D156" s="197" t="s">
        <v>962</v>
      </c>
      <c r="E156" s="198"/>
      <c r="F156" s="202"/>
      <c r="G156" s="198" t="str">
        <f>IF(COUNTIF('AIMS Calendar 2324'!$C:$C,$B156)&gt;0,"Y","-")</f>
        <v>-</v>
      </c>
      <c r="H156" s="198" t="str">
        <f>IF(COUNTIF('AIMS Season - 24_25'!$C:$C,$B156)&gt;0,"Y","-")</f>
        <v>-</v>
      </c>
      <c r="I156" s="198" t="str">
        <f>IF(COUNTIF('AIMS Season 2526'!$C:$C,$B156)&gt;0,"Y","-")</f>
        <v>-</v>
      </c>
      <c r="J156" s="198" t="str">
        <f>IF(COUNTIF('AIMS Season 2627'!$C:$C,$B156)&gt;0,"Y","-")</f>
        <v>-</v>
      </c>
      <c r="K156" s="198" t="str">
        <f>IF(COUNTIF('AIMS Season 2728'!$C:$C,$B156)&gt;0,"Y","-")</f>
        <v>-</v>
      </c>
      <c r="L156" s="198">
        <f t="shared" si="5"/>
        <v>0</v>
      </c>
      <c r="M156" s="202"/>
      <c r="N156" s="203" t="s">
        <v>961</v>
      </c>
    </row>
    <row r="157" spans="1:14" x14ac:dyDescent="0.2">
      <c r="A157" s="196">
        <f t="shared" si="4"/>
        <v>155</v>
      </c>
      <c r="B157" s="197" t="s">
        <v>936</v>
      </c>
      <c r="C157" s="197" t="s">
        <v>394</v>
      </c>
      <c r="D157" s="197" t="s">
        <v>962</v>
      </c>
      <c r="E157" s="198"/>
      <c r="F157" s="202"/>
      <c r="G157" s="198" t="str">
        <f>IF(COUNTIF('AIMS Calendar 2324'!$C:$C,$B157)&gt;0,"Y","-")</f>
        <v>-</v>
      </c>
      <c r="H157" s="198" t="str">
        <f>IF(COUNTIF('AIMS Season - 24_25'!$C:$C,$B157)&gt;0,"Y","-")</f>
        <v>-</v>
      </c>
      <c r="I157" s="198" t="str">
        <f>IF(COUNTIF('AIMS Season 2526'!$C:$C,$B157)&gt;0,"Y","-")</f>
        <v>-</v>
      </c>
      <c r="J157" s="198" t="str">
        <f>IF(COUNTIF('AIMS Season 2627'!$C:$C,$B157)&gt;0,"Y","-")</f>
        <v>-</v>
      </c>
      <c r="K157" s="198" t="str">
        <f>IF(COUNTIF('AIMS Season 2728'!$C:$C,$B157)&gt;0,"Y","-")</f>
        <v>-</v>
      </c>
      <c r="L157" s="198">
        <f t="shared" si="5"/>
        <v>0</v>
      </c>
      <c r="M157" s="202"/>
      <c r="N157" s="203" t="s">
        <v>961</v>
      </c>
    </row>
    <row r="158" spans="1:14" x14ac:dyDescent="0.2">
      <c r="A158" s="196">
        <f t="shared" si="4"/>
        <v>156</v>
      </c>
      <c r="B158" s="197" t="s">
        <v>937</v>
      </c>
      <c r="C158" s="197" t="s">
        <v>43</v>
      </c>
      <c r="D158" s="197" t="s">
        <v>962</v>
      </c>
      <c r="E158" s="198"/>
      <c r="F158" s="202"/>
      <c r="G158" s="198" t="str">
        <f>IF(COUNTIF('AIMS Calendar 2324'!$C:$C,$B158)&gt;0,"Y","-")</f>
        <v>-</v>
      </c>
      <c r="H158" s="198" t="str">
        <f>IF(COUNTIF('AIMS Season - 24_25'!$C:$C,$B158)&gt;0,"Y","-")</f>
        <v>-</v>
      </c>
      <c r="I158" s="198" t="str">
        <f>IF(COUNTIF('AIMS Season 2526'!$C:$C,$B158)&gt;0,"Y","-")</f>
        <v>-</v>
      </c>
      <c r="J158" s="198" t="str">
        <f>IF(COUNTIF('AIMS Season 2627'!$C:$C,$B158)&gt;0,"Y","-")</f>
        <v>-</v>
      </c>
      <c r="K158" s="198" t="str">
        <f>IF(COUNTIF('AIMS Season 2728'!$C:$C,$B158)&gt;0,"Y","-")</f>
        <v>-</v>
      </c>
      <c r="L158" s="198">
        <f t="shared" si="5"/>
        <v>0</v>
      </c>
      <c r="M158" s="202"/>
      <c r="N158" s="203" t="s">
        <v>961</v>
      </c>
    </row>
    <row r="159" spans="1:14" x14ac:dyDescent="0.2">
      <c r="A159" s="196">
        <f t="shared" si="4"/>
        <v>157</v>
      </c>
      <c r="B159" s="197" t="s">
        <v>938</v>
      </c>
      <c r="C159" s="197" t="s">
        <v>394</v>
      </c>
      <c r="D159" s="197" t="s">
        <v>962</v>
      </c>
      <c r="E159" s="198"/>
      <c r="F159" s="202"/>
      <c r="G159" s="198" t="str">
        <f>IF(COUNTIF('AIMS Calendar 2324'!$C:$C,$B159)&gt;0,"Y","-")</f>
        <v>-</v>
      </c>
      <c r="H159" s="198" t="str">
        <f>IF(COUNTIF('AIMS Season - 24_25'!$C:$C,$B159)&gt;0,"Y","-")</f>
        <v>-</v>
      </c>
      <c r="I159" s="198" t="str">
        <f>IF(COUNTIF('AIMS Season 2526'!$C:$C,$B159)&gt;0,"Y","-")</f>
        <v>-</v>
      </c>
      <c r="J159" s="198" t="str">
        <f>IF(COUNTIF('AIMS Season 2627'!$C:$C,$B159)&gt;0,"Y","-")</f>
        <v>-</v>
      </c>
      <c r="K159" s="198" t="str">
        <f>IF(COUNTIF('AIMS Season 2728'!$C:$C,$B159)&gt;0,"Y","-")</f>
        <v>-</v>
      </c>
      <c r="L159" s="198">
        <f t="shared" si="5"/>
        <v>0</v>
      </c>
      <c r="M159" s="202"/>
      <c r="N159" s="203" t="s">
        <v>961</v>
      </c>
    </row>
    <row r="160" spans="1:14" x14ac:dyDescent="0.2">
      <c r="A160" s="196">
        <f t="shared" si="4"/>
        <v>158</v>
      </c>
      <c r="B160" s="197" t="s">
        <v>939</v>
      </c>
      <c r="C160" s="197" t="s">
        <v>43</v>
      </c>
      <c r="D160" s="197" t="s">
        <v>962</v>
      </c>
      <c r="E160" s="198"/>
      <c r="F160" s="202"/>
      <c r="G160" s="198" t="str">
        <f>IF(COUNTIF('AIMS Calendar 2324'!$C:$C,$B160)&gt;0,"Y","-")</f>
        <v>-</v>
      </c>
      <c r="H160" s="198" t="str">
        <f>IF(COUNTIF('AIMS Season - 24_25'!$C:$C,$B160)&gt;0,"Y","-")</f>
        <v>-</v>
      </c>
      <c r="I160" s="198" t="str">
        <f>IF(COUNTIF('AIMS Season 2526'!$C:$C,$B160)&gt;0,"Y","-")</f>
        <v>-</v>
      </c>
      <c r="J160" s="198" t="str">
        <f>IF(COUNTIF('AIMS Season 2627'!$C:$C,$B160)&gt;0,"Y","-")</f>
        <v>-</v>
      </c>
      <c r="K160" s="198" t="str">
        <f>IF(COUNTIF('AIMS Season 2728'!$C:$C,$B160)&gt;0,"Y","-")</f>
        <v>-</v>
      </c>
      <c r="L160" s="198">
        <f t="shared" si="5"/>
        <v>0</v>
      </c>
      <c r="M160" s="202"/>
      <c r="N160" s="203" t="s">
        <v>961</v>
      </c>
    </row>
    <row r="161" spans="1:14" x14ac:dyDescent="0.2">
      <c r="A161" s="196">
        <f t="shared" si="4"/>
        <v>159</v>
      </c>
      <c r="B161" s="197" t="s">
        <v>940</v>
      </c>
      <c r="C161" s="197" t="s">
        <v>394</v>
      </c>
      <c r="D161" s="197" t="s">
        <v>962</v>
      </c>
      <c r="E161" s="198"/>
      <c r="F161" s="202"/>
      <c r="G161" s="198" t="str">
        <f>IF(COUNTIF('AIMS Calendar 2324'!$C:$C,$B161)&gt;0,"Y","-")</f>
        <v>-</v>
      </c>
      <c r="H161" s="198" t="str">
        <f>IF(COUNTIF('AIMS Season - 24_25'!$C:$C,$B161)&gt;0,"Y","-")</f>
        <v>-</v>
      </c>
      <c r="I161" s="198" t="str">
        <f>IF(COUNTIF('AIMS Season 2526'!$C:$C,$B161)&gt;0,"Y","-")</f>
        <v>-</v>
      </c>
      <c r="J161" s="198" t="str">
        <f>IF(COUNTIF('AIMS Season 2627'!$C:$C,$B161)&gt;0,"Y","-")</f>
        <v>-</v>
      </c>
      <c r="K161" s="198" t="str">
        <f>IF(COUNTIF('AIMS Season 2728'!$C:$C,$B161)&gt;0,"Y","-")</f>
        <v>-</v>
      </c>
      <c r="L161" s="198">
        <f t="shared" si="5"/>
        <v>0</v>
      </c>
      <c r="M161" s="202"/>
      <c r="N161" s="203" t="s">
        <v>961</v>
      </c>
    </row>
    <row r="162" spans="1:14" x14ac:dyDescent="0.2">
      <c r="A162" s="196">
        <f t="shared" si="4"/>
        <v>160</v>
      </c>
      <c r="B162" s="197" t="s">
        <v>941</v>
      </c>
      <c r="C162" s="197" t="s">
        <v>43</v>
      </c>
      <c r="D162" s="197" t="s">
        <v>962</v>
      </c>
      <c r="E162" s="198"/>
      <c r="F162" s="202"/>
      <c r="G162" s="198" t="str">
        <f>IF(COUNTIF('AIMS Calendar 2324'!$C:$C,$B162)&gt;0,"Y","-")</f>
        <v>-</v>
      </c>
      <c r="H162" s="198" t="str">
        <f>IF(COUNTIF('AIMS Season - 24_25'!$C:$C,$B162)&gt;0,"Y","-")</f>
        <v>-</v>
      </c>
      <c r="I162" s="198" t="str">
        <f>IF(COUNTIF('AIMS Season 2526'!$C:$C,$B162)&gt;0,"Y","-")</f>
        <v>-</v>
      </c>
      <c r="J162" s="198" t="str">
        <f>IF(COUNTIF('AIMS Season 2627'!$C:$C,$B162)&gt;0,"Y","-")</f>
        <v>-</v>
      </c>
      <c r="K162" s="198" t="str">
        <f>IF(COUNTIF('AIMS Season 2728'!$C:$C,$B162)&gt;0,"Y","-")</f>
        <v>-</v>
      </c>
      <c r="L162" s="198">
        <f t="shared" si="5"/>
        <v>0</v>
      </c>
      <c r="M162" s="202"/>
      <c r="N162" s="203" t="s">
        <v>961</v>
      </c>
    </row>
    <row r="163" spans="1:14" x14ac:dyDescent="0.2">
      <c r="A163" s="196">
        <f t="shared" si="4"/>
        <v>161</v>
      </c>
      <c r="B163" s="197" t="s">
        <v>942</v>
      </c>
      <c r="C163" s="197" t="s">
        <v>12</v>
      </c>
      <c r="D163" s="197" t="s">
        <v>962</v>
      </c>
      <c r="E163" s="198"/>
      <c r="F163" s="202"/>
      <c r="G163" s="198" t="str">
        <f>IF(COUNTIF('AIMS Calendar 2324'!$C:$C,$B163)&gt;0,"Y","-")</f>
        <v>-</v>
      </c>
      <c r="H163" s="198" t="str">
        <f>IF(COUNTIF('AIMS Season - 24_25'!$C:$C,$B163)&gt;0,"Y","-")</f>
        <v>-</v>
      </c>
      <c r="I163" s="198" t="str">
        <f>IF(COUNTIF('AIMS Season 2526'!$C:$C,$B163)&gt;0,"Y","-")</f>
        <v>-</v>
      </c>
      <c r="J163" s="198" t="str">
        <f>IF(COUNTIF('AIMS Season 2627'!$C:$C,$B163)&gt;0,"Y","-")</f>
        <v>-</v>
      </c>
      <c r="K163" s="198" t="str">
        <f>IF(COUNTIF('AIMS Season 2728'!$C:$C,$B163)&gt;0,"Y","-")</f>
        <v>-</v>
      </c>
      <c r="L163" s="198">
        <f t="shared" si="5"/>
        <v>0</v>
      </c>
      <c r="M163" s="202"/>
      <c r="N163" s="203" t="s">
        <v>961</v>
      </c>
    </row>
    <row r="164" spans="1:14" x14ac:dyDescent="0.2">
      <c r="A164" s="196">
        <f t="shared" si="4"/>
        <v>162</v>
      </c>
      <c r="B164" s="197" t="s">
        <v>943</v>
      </c>
      <c r="C164" s="197" t="s">
        <v>52</v>
      </c>
      <c r="D164" s="197" t="s">
        <v>962</v>
      </c>
      <c r="E164" s="198"/>
      <c r="F164" s="202"/>
      <c r="G164" s="198" t="str">
        <f>IF(COUNTIF('AIMS Calendar 2324'!$C:$C,$B164)&gt;0,"Y","-")</f>
        <v>-</v>
      </c>
      <c r="H164" s="198" t="str">
        <f>IF(COUNTIF('AIMS Season - 24_25'!$C:$C,$B164)&gt;0,"Y","-")</f>
        <v>-</v>
      </c>
      <c r="I164" s="198" t="str">
        <f>IF(COUNTIF('AIMS Season 2526'!$C:$C,$B164)&gt;0,"Y","-")</f>
        <v>-</v>
      </c>
      <c r="J164" s="198" t="str">
        <f>IF(COUNTIF('AIMS Season 2627'!$C:$C,$B164)&gt;0,"Y","-")</f>
        <v>-</v>
      </c>
      <c r="K164" s="198" t="str">
        <f>IF(COUNTIF('AIMS Season 2728'!$C:$C,$B164)&gt;0,"Y","-")</f>
        <v>-</v>
      </c>
      <c r="L164" s="198">
        <f t="shared" si="5"/>
        <v>0</v>
      </c>
      <c r="M164" s="202"/>
      <c r="N164" s="203" t="s">
        <v>961</v>
      </c>
    </row>
    <row r="165" spans="1:14" x14ac:dyDescent="0.2">
      <c r="A165" s="196">
        <f t="shared" si="4"/>
        <v>163</v>
      </c>
      <c r="B165" s="197" t="s">
        <v>944</v>
      </c>
      <c r="C165" s="197" t="s">
        <v>43</v>
      </c>
      <c r="D165" s="197" t="s">
        <v>962</v>
      </c>
      <c r="E165" s="198"/>
      <c r="F165" s="202"/>
      <c r="G165" s="198" t="str">
        <f>IF(COUNTIF('AIMS Calendar 2324'!$C:$C,$B165)&gt;0,"Y","-")</f>
        <v>-</v>
      </c>
      <c r="H165" s="198" t="str">
        <f>IF(COUNTIF('AIMS Season - 24_25'!$C:$C,$B165)&gt;0,"Y","-")</f>
        <v>-</v>
      </c>
      <c r="I165" s="198" t="str">
        <f>IF(COUNTIF('AIMS Season 2526'!$C:$C,$B165)&gt;0,"Y","-")</f>
        <v>-</v>
      </c>
      <c r="J165" s="198" t="str">
        <f>IF(COUNTIF('AIMS Season 2627'!$C:$C,$B165)&gt;0,"Y","-")</f>
        <v>-</v>
      </c>
      <c r="K165" s="198" t="str">
        <f>IF(COUNTIF('AIMS Season 2728'!$C:$C,$B165)&gt;0,"Y","-")</f>
        <v>-</v>
      </c>
      <c r="L165" s="198">
        <f t="shared" si="5"/>
        <v>0</v>
      </c>
      <c r="M165" s="202"/>
      <c r="N165" s="203" t="s">
        <v>961</v>
      </c>
    </row>
    <row r="166" spans="1:14" x14ac:dyDescent="0.2">
      <c r="A166" s="196">
        <f t="shared" si="4"/>
        <v>164</v>
      </c>
      <c r="B166" s="197" t="s">
        <v>945</v>
      </c>
      <c r="C166" s="197" t="s">
        <v>25</v>
      </c>
      <c r="D166" s="197" t="s">
        <v>962</v>
      </c>
      <c r="E166" s="198"/>
      <c r="F166" s="202"/>
      <c r="G166" s="198" t="str">
        <f>IF(COUNTIF('AIMS Calendar 2324'!$C:$C,$B166)&gt;0,"Y","-")</f>
        <v>-</v>
      </c>
      <c r="H166" s="198" t="str">
        <f>IF(COUNTIF('AIMS Season - 24_25'!$C:$C,$B166)&gt;0,"Y","-")</f>
        <v>-</v>
      </c>
      <c r="I166" s="198" t="str">
        <f>IF(COUNTIF('AIMS Season 2526'!$C:$C,$B166)&gt;0,"Y","-")</f>
        <v>-</v>
      </c>
      <c r="J166" s="198" t="str">
        <f>IF(COUNTIF('AIMS Season 2627'!$C:$C,$B166)&gt;0,"Y","-")</f>
        <v>-</v>
      </c>
      <c r="K166" s="198" t="str">
        <f>IF(COUNTIF('AIMS Season 2728'!$C:$C,$B166)&gt;0,"Y","-")</f>
        <v>-</v>
      </c>
      <c r="L166" s="198">
        <f t="shared" si="5"/>
        <v>0</v>
      </c>
      <c r="M166" s="202"/>
      <c r="N166" s="203" t="s">
        <v>961</v>
      </c>
    </row>
    <row r="167" spans="1:14" x14ac:dyDescent="0.2">
      <c r="A167" s="196">
        <f t="shared" si="4"/>
        <v>165</v>
      </c>
      <c r="B167" s="197" t="s">
        <v>946</v>
      </c>
      <c r="C167" s="197" t="s">
        <v>399</v>
      </c>
      <c r="D167" s="197" t="s">
        <v>962</v>
      </c>
      <c r="E167" s="198"/>
      <c r="F167" s="202"/>
      <c r="G167" s="198" t="str">
        <f>IF(COUNTIF('AIMS Calendar 2324'!$C:$C,$B167)&gt;0,"Y","-")</f>
        <v>-</v>
      </c>
      <c r="H167" s="198" t="str">
        <f>IF(COUNTIF('AIMS Season - 24_25'!$C:$C,$B167)&gt;0,"Y","-")</f>
        <v>-</v>
      </c>
      <c r="I167" s="198" t="str">
        <f>IF(COUNTIF('AIMS Season 2526'!$C:$C,$B167)&gt;0,"Y","-")</f>
        <v>-</v>
      </c>
      <c r="J167" s="198" t="str">
        <f>IF(COUNTIF('AIMS Season 2627'!$C:$C,$B167)&gt;0,"Y","-")</f>
        <v>-</v>
      </c>
      <c r="K167" s="198" t="str">
        <f>IF(COUNTIF('AIMS Season 2728'!$C:$C,$B167)&gt;0,"Y","-")</f>
        <v>-</v>
      </c>
      <c r="L167" s="198">
        <f t="shared" si="5"/>
        <v>0</v>
      </c>
      <c r="M167" s="202"/>
      <c r="N167" s="203" t="s">
        <v>961</v>
      </c>
    </row>
    <row r="168" spans="1:14" x14ac:dyDescent="0.2">
      <c r="A168" s="196">
        <f t="shared" si="4"/>
        <v>166</v>
      </c>
      <c r="B168" s="197" t="s">
        <v>947</v>
      </c>
      <c r="C168" s="197" t="s">
        <v>43</v>
      </c>
      <c r="D168" s="197" t="s">
        <v>962</v>
      </c>
      <c r="E168" s="198"/>
      <c r="F168" s="202"/>
      <c r="G168" s="198" t="str">
        <f>IF(COUNTIF('AIMS Calendar 2324'!$C:$C,$B168)&gt;0,"Y","-")</f>
        <v>-</v>
      </c>
      <c r="H168" s="198" t="str">
        <f>IF(COUNTIF('AIMS Season - 24_25'!$C:$C,$B168)&gt;0,"Y","-")</f>
        <v>-</v>
      </c>
      <c r="I168" s="198" t="str">
        <f>IF(COUNTIF('AIMS Season 2526'!$C:$C,$B168)&gt;0,"Y","-")</f>
        <v>-</v>
      </c>
      <c r="J168" s="198" t="str">
        <f>IF(COUNTIF('AIMS Season 2627'!$C:$C,$B168)&gt;0,"Y","-")</f>
        <v>-</v>
      </c>
      <c r="K168" s="198" t="str">
        <f>IF(COUNTIF('AIMS Season 2728'!$C:$C,$B168)&gt;0,"Y","-")</f>
        <v>-</v>
      </c>
      <c r="L168" s="198">
        <f t="shared" si="5"/>
        <v>0</v>
      </c>
      <c r="M168" s="202"/>
      <c r="N168" s="203" t="s">
        <v>961</v>
      </c>
    </row>
    <row r="169" spans="1:14" x14ac:dyDescent="0.2">
      <c r="A169" s="196">
        <f t="shared" si="4"/>
        <v>167</v>
      </c>
      <c r="B169" s="197" t="s">
        <v>948</v>
      </c>
      <c r="C169" s="197" t="s">
        <v>43</v>
      </c>
      <c r="D169" s="197" t="s">
        <v>962</v>
      </c>
      <c r="E169" s="198"/>
      <c r="F169" s="202"/>
      <c r="G169" s="198" t="str">
        <f>IF(COUNTIF('AIMS Calendar 2324'!$C:$C,$B169)&gt;0,"Y","-")</f>
        <v>-</v>
      </c>
      <c r="H169" s="198" t="str">
        <f>IF(COUNTIF('AIMS Season - 24_25'!$C:$C,$B169)&gt;0,"Y","-")</f>
        <v>-</v>
      </c>
      <c r="I169" s="198" t="str">
        <f>IF(COUNTIF('AIMS Season 2526'!$C:$C,$B169)&gt;0,"Y","-")</f>
        <v>-</v>
      </c>
      <c r="J169" s="198" t="str">
        <f>IF(COUNTIF('AIMS Season 2627'!$C:$C,$B169)&gt;0,"Y","-")</f>
        <v>-</v>
      </c>
      <c r="K169" s="198" t="str">
        <f>IF(COUNTIF('AIMS Season 2728'!$C:$C,$B169)&gt;0,"Y","-")</f>
        <v>-</v>
      </c>
      <c r="L169" s="198">
        <f t="shared" si="5"/>
        <v>0</v>
      </c>
      <c r="M169" s="202"/>
      <c r="N169" s="203" t="s">
        <v>961</v>
      </c>
    </row>
    <row r="170" spans="1:14" x14ac:dyDescent="0.2">
      <c r="A170" s="196">
        <f t="shared" si="4"/>
        <v>168</v>
      </c>
      <c r="B170" s="197" t="s">
        <v>949</v>
      </c>
      <c r="C170" s="197" t="s">
        <v>399</v>
      </c>
      <c r="D170" s="197" t="s">
        <v>962</v>
      </c>
      <c r="E170" s="198"/>
      <c r="F170" s="202"/>
      <c r="G170" s="198" t="str">
        <f>IF(COUNTIF('AIMS Calendar 2324'!$C:$C,$B170)&gt;0,"Y","-")</f>
        <v>-</v>
      </c>
      <c r="H170" s="198" t="str">
        <f>IF(COUNTIF('AIMS Season - 24_25'!$C:$C,$B170)&gt;0,"Y","-")</f>
        <v>-</v>
      </c>
      <c r="I170" s="198" t="str">
        <f>IF(COUNTIF('AIMS Season 2526'!$C:$C,$B170)&gt;0,"Y","-")</f>
        <v>-</v>
      </c>
      <c r="J170" s="198" t="str">
        <f>IF(COUNTIF('AIMS Season 2627'!$C:$C,$B170)&gt;0,"Y","-")</f>
        <v>-</v>
      </c>
      <c r="K170" s="198" t="str">
        <f>IF(COUNTIF('AIMS Season 2728'!$C:$C,$B170)&gt;0,"Y","-")</f>
        <v>-</v>
      </c>
      <c r="L170" s="198">
        <f t="shared" si="5"/>
        <v>0</v>
      </c>
      <c r="M170" s="202"/>
      <c r="N170" s="203" t="s">
        <v>961</v>
      </c>
    </row>
    <row r="171" spans="1:14" x14ac:dyDescent="0.2">
      <c r="A171" s="196">
        <f t="shared" si="4"/>
        <v>169</v>
      </c>
      <c r="B171" s="197" t="s">
        <v>950</v>
      </c>
      <c r="C171" s="197" t="s">
        <v>43</v>
      </c>
      <c r="D171" s="197" t="s">
        <v>962</v>
      </c>
      <c r="E171" s="198"/>
      <c r="F171" s="202"/>
      <c r="G171" s="198" t="str">
        <f>IF(COUNTIF('AIMS Calendar 2324'!$C:$C,$B171)&gt;0,"Y","-")</f>
        <v>-</v>
      </c>
      <c r="H171" s="198" t="str">
        <f>IF(COUNTIF('AIMS Season - 24_25'!$C:$C,$B171)&gt;0,"Y","-")</f>
        <v>-</v>
      </c>
      <c r="I171" s="198" t="str">
        <f>IF(COUNTIF('AIMS Season 2526'!$C:$C,$B171)&gt;0,"Y","-")</f>
        <v>-</v>
      </c>
      <c r="J171" s="198" t="str">
        <f>IF(COUNTIF('AIMS Season 2627'!$C:$C,$B171)&gt;0,"Y","-")</f>
        <v>-</v>
      </c>
      <c r="K171" s="198" t="str">
        <f>IF(COUNTIF('AIMS Season 2728'!$C:$C,$B171)&gt;0,"Y","-")</f>
        <v>-</v>
      </c>
      <c r="L171" s="198">
        <f t="shared" si="5"/>
        <v>0</v>
      </c>
      <c r="M171" s="202"/>
      <c r="N171" s="203" t="s">
        <v>961</v>
      </c>
    </row>
    <row r="172" spans="1:14" x14ac:dyDescent="0.2">
      <c r="A172" s="196">
        <f t="shared" si="4"/>
        <v>170</v>
      </c>
      <c r="B172" s="197" t="s">
        <v>951</v>
      </c>
      <c r="C172" s="197" t="s">
        <v>12</v>
      </c>
      <c r="D172" s="197" t="s">
        <v>962</v>
      </c>
      <c r="E172" s="198"/>
      <c r="F172" s="202"/>
      <c r="G172" s="198" t="str">
        <f>IF(COUNTIF('AIMS Calendar 2324'!$C:$C,$B172)&gt;0,"Y","-")</f>
        <v>-</v>
      </c>
      <c r="H172" s="198" t="str">
        <f>IF(COUNTIF('AIMS Season - 24_25'!$C:$C,$B172)&gt;0,"Y","-")</f>
        <v>-</v>
      </c>
      <c r="I172" s="198" t="str">
        <f>IF(COUNTIF('AIMS Season 2526'!$C:$C,$B172)&gt;0,"Y","-")</f>
        <v>-</v>
      </c>
      <c r="J172" s="198" t="str">
        <f>IF(COUNTIF('AIMS Season 2627'!$C:$C,$B172)&gt;0,"Y","-")</f>
        <v>-</v>
      </c>
      <c r="K172" s="198" t="str">
        <f>IF(COUNTIF('AIMS Season 2728'!$C:$C,$B172)&gt;0,"Y","-")</f>
        <v>-</v>
      </c>
      <c r="L172" s="198">
        <f t="shared" si="5"/>
        <v>0</v>
      </c>
      <c r="M172" s="202"/>
      <c r="N172" s="203" t="s">
        <v>961</v>
      </c>
    </row>
    <row r="173" spans="1:14" x14ac:dyDescent="0.2">
      <c r="A173" s="196">
        <f t="shared" si="4"/>
        <v>171</v>
      </c>
      <c r="B173" s="197" t="s">
        <v>952</v>
      </c>
      <c r="C173" s="197" t="s">
        <v>43</v>
      </c>
      <c r="D173" s="197" t="s">
        <v>962</v>
      </c>
      <c r="E173" s="198"/>
      <c r="F173" s="202"/>
      <c r="G173" s="198" t="str">
        <f>IF(COUNTIF('AIMS Calendar 2324'!$C:$C,$B173)&gt;0,"Y","-")</f>
        <v>-</v>
      </c>
      <c r="H173" s="198" t="str">
        <f>IF(COUNTIF('AIMS Season - 24_25'!$C:$C,$B173)&gt;0,"Y","-")</f>
        <v>-</v>
      </c>
      <c r="I173" s="198" t="str">
        <f>IF(COUNTIF('AIMS Season 2526'!$C:$C,$B173)&gt;0,"Y","-")</f>
        <v>-</v>
      </c>
      <c r="J173" s="198" t="str">
        <f>IF(COUNTIF('AIMS Season 2627'!$C:$C,$B173)&gt;0,"Y","-")</f>
        <v>-</v>
      </c>
      <c r="K173" s="198" t="str">
        <f>IF(COUNTIF('AIMS Season 2728'!$C:$C,$B173)&gt;0,"Y","-")</f>
        <v>-</v>
      </c>
      <c r="L173" s="198">
        <f t="shared" si="5"/>
        <v>0</v>
      </c>
      <c r="M173" s="202"/>
      <c r="N173" s="203" t="s">
        <v>961</v>
      </c>
    </row>
    <row r="174" spans="1:14" x14ac:dyDescent="0.2">
      <c r="A174" s="196">
        <f t="shared" si="4"/>
        <v>172</v>
      </c>
      <c r="B174" s="197" t="s">
        <v>953</v>
      </c>
      <c r="C174" s="197" t="s">
        <v>12</v>
      </c>
      <c r="D174" s="197" t="s">
        <v>962</v>
      </c>
      <c r="E174" s="198"/>
      <c r="F174" s="202"/>
      <c r="G174" s="198" t="str">
        <f>IF(COUNTIF('AIMS Calendar 2324'!$C:$C,$B174)&gt;0,"Y","-")</f>
        <v>-</v>
      </c>
      <c r="H174" s="198" t="str">
        <f>IF(COUNTIF('AIMS Season - 24_25'!$C:$C,$B174)&gt;0,"Y","-")</f>
        <v>-</v>
      </c>
      <c r="I174" s="198" t="str">
        <f>IF(COUNTIF('AIMS Season 2526'!$C:$C,$B174)&gt;0,"Y","-")</f>
        <v>-</v>
      </c>
      <c r="J174" s="198" t="str">
        <f>IF(COUNTIF('AIMS Season 2627'!$C:$C,$B174)&gt;0,"Y","-")</f>
        <v>-</v>
      </c>
      <c r="K174" s="198" t="str">
        <f>IF(COUNTIF('AIMS Season 2728'!$C:$C,$B174)&gt;0,"Y","-")</f>
        <v>-</v>
      </c>
      <c r="L174" s="198">
        <f t="shared" si="5"/>
        <v>0</v>
      </c>
      <c r="M174" s="202"/>
      <c r="N174" s="203" t="s">
        <v>961</v>
      </c>
    </row>
    <row r="175" spans="1:14" x14ac:dyDescent="0.2">
      <c r="A175" s="196">
        <f t="shared" si="4"/>
        <v>173</v>
      </c>
      <c r="B175" s="197" t="s">
        <v>954</v>
      </c>
      <c r="C175" s="197" t="s">
        <v>43</v>
      </c>
      <c r="D175" s="197" t="s">
        <v>962</v>
      </c>
      <c r="E175" s="198"/>
      <c r="F175" s="202"/>
      <c r="G175" s="198" t="str">
        <f>IF(COUNTIF('AIMS Calendar 2324'!$C:$C,$B175)&gt;0,"Y","-")</f>
        <v>-</v>
      </c>
      <c r="H175" s="198" t="str">
        <f>IF(COUNTIF('AIMS Season - 24_25'!$C:$C,$B175)&gt;0,"Y","-")</f>
        <v>-</v>
      </c>
      <c r="I175" s="198" t="str">
        <f>IF(COUNTIF('AIMS Season 2526'!$C:$C,$B175)&gt;0,"Y","-")</f>
        <v>-</v>
      </c>
      <c r="J175" s="198" t="str">
        <f>IF(COUNTIF('AIMS Season 2627'!$C:$C,$B175)&gt;0,"Y","-")</f>
        <v>-</v>
      </c>
      <c r="K175" s="198" t="str">
        <f>IF(COUNTIF('AIMS Season 2728'!$C:$C,$B175)&gt;0,"Y","-")</f>
        <v>-</v>
      </c>
      <c r="L175" s="198">
        <f t="shared" si="5"/>
        <v>0</v>
      </c>
      <c r="M175" s="202"/>
      <c r="N175" s="203" t="s">
        <v>961</v>
      </c>
    </row>
    <row r="176" spans="1:14" x14ac:dyDescent="0.2">
      <c r="A176" s="196">
        <f t="shared" si="4"/>
        <v>174</v>
      </c>
      <c r="B176" s="197" t="s">
        <v>955</v>
      </c>
      <c r="C176" s="197" t="s">
        <v>25</v>
      </c>
      <c r="D176" s="197" t="s">
        <v>962</v>
      </c>
      <c r="E176" s="198"/>
      <c r="F176" s="202"/>
      <c r="G176" s="198" t="str">
        <f>IF(COUNTIF('AIMS Calendar 2324'!$C:$C,$B176)&gt;0,"Y","-")</f>
        <v>-</v>
      </c>
      <c r="H176" s="198" t="str">
        <f>IF(COUNTIF('AIMS Season - 24_25'!$C:$C,$B176)&gt;0,"Y","-")</f>
        <v>-</v>
      </c>
      <c r="I176" s="198" t="str">
        <f>IF(COUNTIF('AIMS Season 2526'!$C:$C,$B176)&gt;0,"Y","-")</f>
        <v>-</v>
      </c>
      <c r="J176" s="198" t="str">
        <f>IF(COUNTIF('AIMS Season 2627'!$C:$C,$B176)&gt;0,"Y","-")</f>
        <v>-</v>
      </c>
      <c r="K176" s="198" t="str">
        <f>IF(COUNTIF('AIMS Season 2728'!$C:$C,$B176)&gt;0,"Y","-")</f>
        <v>-</v>
      </c>
      <c r="L176" s="198">
        <f t="shared" si="5"/>
        <v>0</v>
      </c>
      <c r="M176" s="202"/>
      <c r="N176" s="203" t="s">
        <v>961</v>
      </c>
    </row>
    <row r="177" spans="1:14" x14ac:dyDescent="0.2">
      <c r="A177" s="196">
        <f t="shared" si="4"/>
        <v>175</v>
      </c>
      <c r="B177" s="197" t="s">
        <v>956</v>
      </c>
      <c r="C177" s="197" t="s">
        <v>399</v>
      </c>
      <c r="D177" s="197" t="s">
        <v>962</v>
      </c>
      <c r="E177" s="198"/>
      <c r="F177" s="202"/>
      <c r="G177" s="198" t="str">
        <f>IF(COUNTIF('AIMS Calendar 2324'!$C:$C,$B177)&gt;0,"Y","-")</f>
        <v>-</v>
      </c>
      <c r="H177" s="198" t="str">
        <f>IF(COUNTIF('AIMS Season - 24_25'!$C:$C,$B177)&gt;0,"Y","-")</f>
        <v>-</v>
      </c>
      <c r="I177" s="198" t="str">
        <f>IF(COUNTIF('AIMS Season 2526'!$C:$C,$B177)&gt;0,"Y","-")</f>
        <v>-</v>
      </c>
      <c r="J177" s="198" t="str">
        <f>IF(COUNTIF('AIMS Season 2627'!$C:$C,$B177)&gt;0,"Y","-")</f>
        <v>-</v>
      </c>
      <c r="K177" s="198" t="str">
        <f>IF(COUNTIF('AIMS Season 2728'!$C:$C,$B177)&gt;0,"Y","-")</f>
        <v>-</v>
      </c>
      <c r="L177" s="198">
        <f t="shared" si="5"/>
        <v>0</v>
      </c>
      <c r="M177" s="202"/>
      <c r="N177" s="203" t="s">
        <v>961</v>
      </c>
    </row>
    <row r="178" spans="1:14" x14ac:dyDescent="0.2">
      <c r="A178" s="196">
        <f t="shared" si="4"/>
        <v>176</v>
      </c>
      <c r="B178" s="197" t="s">
        <v>957</v>
      </c>
      <c r="C178" s="197" t="s">
        <v>399</v>
      </c>
      <c r="D178" s="197" t="s">
        <v>962</v>
      </c>
      <c r="E178" s="198"/>
      <c r="F178" s="202"/>
      <c r="G178" s="198" t="str">
        <f>IF(COUNTIF('AIMS Calendar 2324'!$C:$C,$B178)&gt;0,"Y","-")</f>
        <v>-</v>
      </c>
      <c r="H178" s="198" t="str">
        <f>IF(COUNTIF('AIMS Season - 24_25'!$C:$C,$B178)&gt;0,"Y","-")</f>
        <v>-</v>
      </c>
      <c r="I178" s="198" t="str">
        <f>IF(COUNTIF('AIMS Season 2526'!$C:$C,$B178)&gt;0,"Y","-")</f>
        <v>-</v>
      </c>
      <c r="J178" s="198" t="str">
        <f>IF(COUNTIF('AIMS Season 2627'!$C:$C,$B178)&gt;0,"Y","-")</f>
        <v>-</v>
      </c>
      <c r="K178" s="198" t="str">
        <f>IF(COUNTIF('AIMS Season 2728'!$C:$C,$B178)&gt;0,"Y","-")</f>
        <v>-</v>
      </c>
      <c r="L178" s="198">
        <f t="shared" si="5"/>
        <v>0</v>
      </c>
      <c r="M178" s="202"/>
      <c r="N178" s="203" t="s">
        <v>961</v>
      </c>
    </row>
    <row r="179" spans="1:14" x14ac:dyDescent="0.2">
      <c r="A179" s="196">
        <f t="shared" si="4"/>
        <v>177</v>
      </c>
      <c r="B179" s="197" t="s">
        <v>958</v>
      </c>
      <c r="C179" s="197" t="s">
        <v>43</v>
      </c>
      <c r="D179" s="197" t="s">
        <v>962</v>
      </c>
      <c r="E179" s="198"/>
      <c r="F179" s="202"/>
      <c r="G179" s="198" t="str">
        <f>IF(COUNTIF('AIMS Calendar 2324'!$C:$C,$B179)&gt;0,"Y","-")</f>
        <v>-</v>
      </c>
      <c r="H179" s="198" t="str">
        <f>IF(COUNTIF('AIMS Season - 24_25'!$C:$C,$B179)&gt;0,"Y","-")</f>
        <v>-</v>
      </c>
      <c r="I179" s="198" t="str">
        <f>IF(COUNTIF('AIMS Season 2526'!$C:$C,$B179)&gt;0,"Y","-")</f>
        <v>-</v>
      </c>
      <c r="J179" s="198" t="str">
        <f>IF(COUNTIF('AIMS Season 2627'!$C:$C,$B179)&gt;0,"Y","-")</f>
        <v>-</v>
      </c>
      <c r="K179" s="198" t="str">
        <f>IF(COUNTIF('AIMS Season 2728'!$C:$C,$B179)&gt;0,"Y","-")</f>
        <v>-</v>
      </c>
      <c r="L179" s="198">
        <f t="shared" si="5"/>
        <v>0</v>
      </c>
      <c r="M179" s="202"/>
      <c r="N179" s="203" t="s">
        <v>961</v>
      </c>
    </row>
    <row r="180" spans="1:14" x14ac:dyDescent="0.2">
      <c r="A180" s="196">
        <f t="shared" si="4"/>
        <v>178</v>
      </c>
      <c r="B180" s="197" t="s">
        <v>959</v>
      </c>
      <c r="C180" s="197" t="s">
        <v>394</v>
      </c>
      <c r="D180" s="197" t="s">
        <v>962</v>
      </c>
      <c r="E180" s="198"/>
      <c r="F180" s="202"/>
      <c r="G180" s="198" t="str">
        <f>IF(COUNTIF('AIMS Calendar 2324'!$C:$C,$B180)&gt;0,"Y","-")</f>
        <v>-</v>
      </c>
      <c r="H180" s="198" t="str">
        <f>IF(COUNTIF('AIMS Season - 24_25'!$C:$C,$B180)&gt;0,"Y","-")</f>
        <v>-</v>
      </c>
      <c r="I180" s="198" t="str">
        <f>IF(COUNTIF('AIMS Season 2526'!$C:$C,$B180)&gt;0,"Y","-")</f>
        <v>-</v>
      </c>
      <c r="J180" s="198" t="str">
        <f>IF(COUNTIF('AIMS Season 2627'!$C:$C,$B180)&gt;0,"Y","-")</f>
        <v>-</v>
      </c>
      <c r="K180" s="198" t="str">
        <f>IF(COUNTIF('AIMS Season 2728'!$C:$C,$B180)&gt;0,"Y","-")</f>
        <v>-</v>
      </c>
      <c r="L180" s="198">
        <f t="shared" si="5"/>
        <v>0</v>
      </c>
      <c r="M180" s="202"/>
      <c r="N180" s="203" t="s">
        <v>961</v>
      </c>
    </row>
    <row r="181" spans="1:14" x14ac:dyDescent="0.2">
      <c r="A181" s="196">
        <f t="shared" si="4"/>
        <v>179</v>
      </c>
      <c r="B181" s="197" t="s">
        <v>960</v>
      </c>
      <c r="C181" s="197" t="s">
        <v>25</v>
      </c>
      <c r="D181" s="197" t="s">
        <v>962</v>
      </c>
      <c r="E181" s="198"/>
      <c r="F181" s="202"/>
      <c r="G181" s="198" t="str">
        <f>IF(COUNTIF('AIMS Calendar 2324'!$C:$C,$B181)&gt;0,"Y","-")</f>
        <v>-</v>
      </c>
      <c r="H181" s="198" t="str">
        <f>IF(COUNTIF('AIMS Season - 24_25'!$C:$C,$B181)&gt;0,"Y","-")</f>
        <v>-</v>
      </c>
      <c r="I181" s="198" t="str">
        <f>IF(COUNTIF('AIMS Season 2526'!$C:$C,$B181)&gt;0,"Y","-")</f>
        <v>-</v>
      </c>
      <c r="J181" s="198" t="str">
        <f>IF(COUNTIF('AIMS Season 2627'!$C:$C,$B181)&gt;0,"Y","-")</f>
        <v>-</v>
      </c>
      <c r="K181" s="198" t="str">
        <f>IF(COUNTIF('AIMS Season 2728'!$C:$C,$B181)&gt;0,"Y","-")</f>
        <v>-</v>
      </c>
      <c r="L181" s="198">
        <f t="shared" si="5"/>
        <v>0</v>
      </c>
      <c r="M181" s="202"/>
      <c r="N181" s="203" t="s">
        <v>961</v>
      </c>
    </row>
  </sheetData>
  <mergeCells count="1">
    <mergeCell ref="A1:N1"/>
  </mergeCells>
  <conditionalFormatting sqref="A3:N181">
    <cfRule type="expression" dxfId="2" priority="1">
      <formula>$N3&lt;&gt;""</formula>
    </cfRule>
  </conditionalFormatting>
  <conditionalFormatting sqref="A3:N181">
    <cfRule type="containsText" dxfId="1" priority="2" operator="containsText" text="Non-AIMS">
      <formula>NOT(ISERROR(SEARCH("Non-AIMS",A3)))</formula>
    </cfRule>
  </conditionalFormatting>
  <conditionalFormatting sqref="A3:N181">
    <cfRule type="containsText" dxfId="0" priority="3" operator="containsText" text="Inactive">
      <formula>NOT(ISERROR(SEARCH("Inactive",A3)))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2210-6B7B-47E8-83FD-5A3C256C912D}">
  <sheetPr>
    <tabColor rgb="FF92D050"/>
  </sheetPr>
  <dimension ref="A1:L114"/>
  <sheetViews>
    <sheetView zoomScale="130" zoomScaleNormal="130" workbookViewId="0">
      <selection activeCell="A41" sqref="A41"/>
    </sheetView>
  </sheetViews>
  <sheetFormatPr defaultRowHeight="12.75" x14ac:dyDescent="0.2"/>
  <cols>
    <col min="1" max="1" width="35.42578125" customWidth="1"/>
    <col min="2" max="2" width="12.28515625" customWidth="1"/>
    <col min="3" max="3" width="36.28515625" customWidth="1"/>
    <col min="4" max="4" width="40.42578125" customWidth="1"/>
    <col min="5" max="6" width="11.5703125" bestFit="1" customWidth="1"/>
    <col min="7" max="7" width="18.140625" bestFit="1" customWidth="1"/>
    <col min="8" max="8" width="29.42578125" style="86" bestFit="1" customWidth="1"/>
    <col min="9" max="9" width="33.140625" style="86" bestFit="1" customWidth="1"/>
    <col min="10" max="10" width="23.42578125" style="86" bestFit="1" customWidth="1"/>
    <col min="11" max="11" width="36.5703125" style="86" bestFit="1" customWidth="1"/>
  </cols>
  <sheetData>
    <row r="1" spans="1:11" ht="38.25" x14ac:dyDescent="0.2">
      <c r="A1" s="148" t="s">
        <v>0</v>
      </c>
    </row>
    <row r="2" spans="1:11" ht="15" x14ac:dyDescent="0.25">
      <c r="A2" s="102" t="s">
        <v>1</v>
      </c>
      <c r="B2" s="103" t="s">
        <v>2</v>
      </c>
      <c r="C2" s="103" t="s">
        <v>3</v>
      </c>
      <c r="D2" s="121" t="s">
        <v>4</v>
      </c>
      <c r="E2" s="103" t="s">
        <v>5</v>
      </c>
      <c r="F2" s="103" t="s">
        <v>6</v>
      </c>
      <c r="G2" s="103" t="s">
        <v>7</v>
      </c>
      <c r="H2" s="125" t="s">
        <v>8</v>
      </c>
      <c r="I2" s="128" t="s">
        <v>9</v>
      </c>
      <c r="J2" s="128" t="s">
        <v>10</v>
      </c>
      <c r="K2" s="129" t="s">
        <v>11</v>
      </c>
    </row>
    <row r="3" spans="1:11" ht="14.25" x14ac:dyDescent="0.2">
      <c r="A3" s="105" t="s">
        <v>12</v>
      </c>
      <c r="B3" s="106" t="s">
        <v>13</v>
      </c>
      <c r="C3" s="106" t="s">
        <v>14</v>
      </c>
      <c r="D3" s="95" t="s">
        <v>15</v>
      </c>
      <c r="E3" s="107">
        <v>45804</v>
      </c>
      <c r="F3" s="108">
        <v>45808</v>
      </c>
      <c r="G3" s="133">
        <v>45808</v>
      </c>
      <c r="H3" s="82" t="s">
        <v>16</v>
      </c>
      <c r="I3" s="127" t="s">
        <v>17</v>
      </c>
      <c r="J3" s="127" t="s">
        <v>18</v>
      </c>
      <c r="K3" s="130" t="s">
        <v>19</v>
      </c>
    </row>
    <row r="4" spans="1:11" ht="14.25" x14ac:dyDescent="0.2">
      <c r="A4" s="105" t="s">
        <v>399</v>
      </c>
      <c r="B4" s="106" t="s">
        <v>20</v>
      </c>
      <c r="C4" s="106" t="s">
        <v>21</v>
      </c>
      <c r="D4" s="95" t="s">
        <v>22</v>
      </c>
      <c r="E4" s="112">
        <v>45903</v>
      </c>
      <c r="F4" s="113">
        <v>45906</v>
      </c>
      <c r="G4" s="133">
        <v>45906</v>
      </c>
      <c r="H4" s="82" t="s">
        <v>16</v>
      </c>
      <c r="I4" s="127" t="s">
        <v>23</v>
      </c>
      <c r="J4" s="131" t="s">
        <v>24</v>
      </c>
      <c r="K4" s="132" t="s">
        <v>23</v>
      </c>
    </row>
    <row r="5" spans="1:11" ht="15" x14ac:dyDescent="0.25">
      <c r="A5" s="105" t="s">
        <v>25</v>
      </c>
      <c r="B5" s="106" t="s">
        <v>20</v>
      </c>
      <c r="C5" s="146" t="s">
        <v>26</v>
      </c>
      <c r="D5" s="95" t="s">
        <v>27</v>
      </c>
      <c r="E5" s="112">
        <v>45910</v>
      </c>
      <c r="F5" s="113">
        <v>45912</v>
      </c>
      <c r="G5" s="133">
        <v>45911</v>
      </c>
      <c r="H5" s="82" t="s">
        <v>16</v>
      </c>
      <c r="I5" s="127" t="s">
        <v>28</v>
      </c>
      <c r="J5" s="127" t="s">
        <v>29</v>
      </c>
      <c r="K5" s="130" t="s">
        <v>28</v>
      </c>
    </row>
    <row r="6" spans="1:11" ht="15" x14ac:dyDescent="0.25">
      <c r="A6" s="105" t="s">
        <v>12</v>
      </c>
      <c r="B6" s="106" t="s">
        <v>20</v>
      </c>
      <c r="C6" s="146" t="s">
        <v>30</v>
      </c>
      <c r="D6" s="95" t="s">
        <v>27</v>
      </c>
      <c r="E6" s="112">
        <v>45904</v>
      </c>
      <c r="F6" s="113">
        <v>45913</v>
      </c>
      <c r="G6" s="133">
        <v>45913</v>
      </c>
      <c r="H6" s="82" t="s">
        <v>16</v>
      </c>
      <c r="I6" s="127" t="s">
        <v>31</v>
      </c>
      <c r="J6" s="127" t="s">
        <v>32</v>
      </c>
      <c r="K6" s="130" t="s">
        <v>33</v>
      </c>
    </row>
    <row r="7" spans="1:11" ht="15" x14ac:dyDescent="0.25">
      <c r="A7" s="105" t="s">
        <v>399</v>
      </c>
      <c r="B7" s="106" t="s">
        <v>20</v>
      </c>
      <c r="C7" s="146" t="s">
        <v>34</v>
      </c>
      <c r="D7" s="95" t="s">
        <v>35</v>
      </c>
      <c r="E7" s="112">
        <v>45918</v>
      </c>
      <c r="F7" s="113">
        <v>45920</v>
      </c>
      <c r="G7" s="133">
        <v>45920</v>
      </c>
      <c r="H7" s="82" t="s">
        <v>16</v>
      </c>
      <c r="I7" s="127" t="s">
        <v>36</v>
      </c>
      <c r="J7" s="127" t="s">
        <v>37</v>
      </c>
      <c r="K7" s="130" t="s">
        <v>36</v>
      </c>
    </row>
    <row r="8" spans="1:11" ht="14.25" x14ac:dyDescent="0.2">
      <c r="A8" s="105" t="s">
        <v>12</v>
      </c>
      <c r="B8" s="106" t="s">
        <v>20</v>
      </c>
      <c r="C8" s="106" t="s">
        <v>38</v>
      </c>
      <c r="D8" s="95" t="s">
        <v>39</v>
      </c>
      <c r="E8" s="112">
        <v>45937</v>
      </c>
      <c r="F8" s="113">
        <v>45941</v>
      </c>
      <c r="G8" s="133">
        <v>45941</v>
      </c>
      <c r="H8" s="82" t="s">
        <v>16</v>
      </c>
      <c r="I8" s="131" t="s">
        <v>40</v>
      </c>
      <c r="J8" s="127" t="s">
        <v>41</v>
      </c>
      <c r="K8" s="127" t="s">
        <v>42</v>
      </c>
    </row>
    <row r="9" spans="1:11" ht="14.25" x14ac:dyDescent="0.2">
      <c r="A9" s="105" t="s">
        <v>43</v>
      </c>
      <c r="B9" s="106" t="s">
        <v>13</v>
      </c>
      <c r="C9" s="106" t="s">
        <v>44</v>
      </c>
      <c r="D9" s="95" t="s">
        <v>15</v>
      </c>
      <c r="E9" s="112">
        <v>45945</v>
      </c>
      <c r="F9" s="113">
        <v>45949</v>
      </c>
      <c r="G9" s="133">
        <v>45946</v>
      </c>
      <c r="H9" s="82" t="s">
        <v>16</v>
      </c>
      <c r="I9" s="131" t="s">
        <v>40</v>
      </c>
      <c r="J9" s="131" t="s">
        <v>45</v>
      </c>
      <c r="K9" s="127" t="s">
        <v>46</v>
      </c>
    </row>
    <row r="10" spans="1:11" ht="14.25" x14ac:dyDescent="0.2">
      <c r="A10" s="105" t="s">
        <v>12</v>
      </c>
      <c r="B10" s="106" t="s">
        <v>13</v>
      </c>
      <c r="C10" s="106" t="s">
        <v>841</v>
      </c>
      <c r="D10" s="95" t="s">
        <v>48</v>
      </c>
      <c r="E10" s="112">
        <v>45945</v>
      </c>
      <c r="F10" s="112">
        <v>45948</v>
      </c>
      <c r="G10" s="133">
        <v>45948</v>
      </c>
      <c r="H10" s="82" t="s">
        <v>16</v>
      </c>
      <c r="I10" s="127" t="s">
        <v>49</v>
      </c>
      <c r="J10" s="127" t="s">
        <v>50</v>
      </c>
      <c r="K10" s="130" t="s">
        <v>51</v>
      </c>
    </row>
    <row r="11" spans="1:11" ht="15" x14ac:dyDescent="0.25">
      <c r="A11" s="105" t="s">
        <v>52</v>
      </c>
      <c r="B11" s="106" t="s">
        <v>20</v>
      </c>
      <c r="C11" s="146" t="s">
        <v>53</v>
      </c>
      <c r="D11" s="95" t="s">
        <v>54</v>
      </c>
      <c r="E11" s="112">
        <v>45953</v>
      </c>
      <c r="F11" s="113">
        <v>45955</v>
      </c>
      <c r="G11" s="133">
        <v>45955</v>
      </c>
      <c r="H11" s="82" t="s">
        <v>16</v>
      </c>
      <c r="I11" s="127" t="s">
        <v>55</v>
      </c>
      <c r="J11" s="127" t="s">
        <v>56</v>
      </c>
      <c r="K11" s="130" t="s">
        <v>57</v>
      </c>
    </row>
    <row r="12" spans="1:11" ht="15" x14ac:dyDescent="0.25">
      <c r="A12" s="105" t="s">
        <v>43</v>
      </c>
      <c r="B12" s="106" t="s">
        <v>20</v>
      </c>
      <c r="C12" s="146" t="s">
        <v>811</v>
      </c>
      <c r="D12" s="95" t="s">
        <v>58</v>
      </c>
      <c r="E12" s="112">
        <v>45959</v>
      </c>
      <c r="F12" s="113">
        <v>45962</v>
      </c>
      <c r="G12" s="133">
        <v>45959</v>
      </c>
      <c r="H12" s="82" t="s">
        <v>16</v>
      </c>
      <c r="I12" s="127" t="s">
        <v>59</v>
      </c>
      <c r="J12" s="127" t="s">
        <v>60</v>
      </c>
      <c r="K12" s="130" t="s">
        <v>61</v>
      </c>
    </row>
    <row r="13" spans="1:11" ht="14.25" x14ac:dyDescent="0.2">
      <c r="A13" s="116" t="s">
        <v>12</v>
      </c>
      <c r="B13" s="106" t="s">
        <v>20</v>
      </c>
      <c r="C13" s="106" t="s">
        <v>791</v>
      </c>
      <c r="D13" s="95" t="s">
        <v>63</v>
      </c>
      <c r="E13" s="110">
        <v>45958</v>
      </c>
      <c r="F13" s="111">
        <v>45962</v>
      </c>
      <c r="G13" s="133">
        <v>45960</v>
      </c>
      <c r="H13" s="82" t="s">
        <v>16</v>
      </c>
      <c r="I13" s="127" t="s">
        <v>64</v>
      </c>
      <c r="J13" s="127" t="s">
        <v>65</v>
      </c>
      <c r="K13" s="130" t="s">
        <v>66</v>
      </c>
    </row>
    <row r="14" spans="1:11" ht="14.25" x14ac:dyDescent="0.2">
      <c r="A14" s="105" t="s">
        <v>394</v>
      </c>
      <c r="B14" s="106" t="s">
        <v>20</v>
      </c>
      <c r="C14" s="106" t="s">
        <v>67</v>
      </c>
      <c r="D14" s="95" t="s">
        <v>68</v>
      </c>
      <c r="E14" s="112">
        <v>45959</v>
      </c>
      <c r="F14" s="113">
        <v>45962</v>
      </c>
      <c r="G14" s="133">
        <v>45962</v>
      </c>
      <c r="H14" s="82" t="s">
        <v>16</v>
      </c>
      <c r="I14" s="127" t="s">
        <v>69</v>
      </c>
      <c r="J14" s="127" t="s">
        <v>70</v>
      </c>
      <c r="K14" s="132" t="s">
        <v>71</v>
      </c>
    </row>
    <row r="15" spans="1:11" ht="15" x14ac:dyDescent="0.25">
      <c r="A15" s="105" t="s">
        <v>43</v>
      </c>
      <c r="B15" s="106" t="s">
        <v>20</v>
      </c>
      <c r="C15" s="146" t="s">
        <v>794</v>
      </c>
      <c r="D15" s="95" t="s">
        <v>72</v>
      </c>
      <c r="E15" s="114">
        <v>45965</v>
      </c>
      <c r="F15" s="114">
        <v>45969</v>
      </c>
      <c r="G15" s="133">
        <v>45968</v>
      </c>
      <c r="H15" s="82" t="s">
        <v>16</v>
      </c>
      <c r="I15" s="127" t="s">
        <v>73</v>
      </c>
      <c r="J15" s="127" t="s">
        <v>74</v>
      </c>
      <c r="K15" s="130" t="s">
        <v>57</v>
      </c>
    </row>
    <row r="16" spans="1:11" ht="14.25" x14ac:dyDescent="0.2">
      <c r="A16" s="105" t="s">
        <v>394</v>
      </c>
      <c r="B16" s="106" t="s">
        <v>13</v>
      </c>
      <c r="C16" s="106" t="s">
        <v>823</v>
      </c>
      <c r="D16" s="95" t="s">
        <v>15</v>
      </c>
      <c r="E16" s="110">
        <v>45967</v>
      </c>
      <c r="F16" s="111">
        <v>45976</v>
      </c>
      <c r="G16" s="133">
        <v>45968</v>
      </c>
      <c r="H16" s="82" t="s">
        <v>16</v>
      </c>
      <c r="I16" s="127" t="s">
        <v>75</v>
      </c>
      <c r="J16" s="127" t="s">
        <v>76</v>
      </c>
      <c r="K16" s="132" t="s">
        <v>75</v>
      </c>
    </row>
    <row r="17" spans="1:11" ht="15" x14ac:dyDescent="0.25">
      <c r="A17" s="105" t="s">
        <v>43</v>
      </c>
      <c r="B17" s="106" t="s">
        <v>13</v>
      </c>
      <c r="C17" s="146" t="s">
        <v>808</v>
      </c>
      <c r="D17" s="95" t="s">
        <v>78</v>
      </c>
      <c r="E17" s="114">
        <v>45972</v>
      </c>
      <c r="F17" s="115">
        <v>45976</v>
      </c>
      <c r="G17" s="133">
        <v>45973</v>
      </c>
      <c r="H17" s="82" t="s">
        <v>16</v>
      </c>
      <c r="I17" s="127" t="s">
        <v>79</v>
      </c>
      <c r="J17" s="127" t="s">
        <v>80</v>
      </c>
      <c r="K17" s="130" t="s">
        <v>81</v>
      </c>
    </row>
    <row r="18" spans="1:11" ht="14.25" x14ac:dyDescent="0.2">
      <c r="A18" s="105" t="s">
        <v>12</v>
      </c>
      <c r="B18" s="106" t="s">
        <v>20</v>
      </c>
      <c r="C18" s="106" t="s">
        <v>822</v>
      </c>
      <c r="D18" s="95" t="s">
        <v>82</v>
      </c>
      <c r="E18" s="112">
        <v>45974</v>
      </c>
      <c r="F18" s="113">
        <v>45983</v>
      </c>
      <c r="G18" s="133">
        <v>45976</v>
      </c>
      <c r="H18" s="82" t="s">
        <v>16</v>
      </c>
      <c r="I18" s="127" t="s">
        <v>83</v>
      </c>
      <c r="J18" s="127" t="s">
        <v>84</v>
      </c>
      <c r="K18" s="132" t="s">
        <v>33</v>
      </c>
    </row>
    <row r="19" spans="1:11" ht="15" x14ac:dyDescent="0.25">
      <c r="A19" s="105" t="s">
        <v>43</v>
      </c>
      <c r="B19" s="106" t="s">
        <v>20</v>
      </c>
      <c r="C19" s="146" t="s">
        <v>796</v>
      </c>
      <c r="D19" s="95" t="s">
        <v>86</v>
      </c>
      <c r="E19" s="112">
        <v>45979</v>
      </c>
      <c r="F19" s="113">
        <v>45983</v>
      </c>
      <c r="G19" s="133">
        <v>45979</v>
      </c>
      <c r="H19" s="82" t="s">
        <v>16</v>
      </c>
      <c r="I19" s="127" t="s">
        <v>87</v>
      </c>
      <c r="J19" s="127" t="s">
        <v>88</v>
      </c>
      <c r="K19" s="130" t="s">
        <v>89</v>
      </c>
    </row>
    <row r="20" spans="1:11" ht="14.25" x14ac:dyDescent="0.2">
      <c r="A20" s="105" t="s">
        <v>12</v>
      </c>
      <c r="B20" s="106" t="s">
        <v>13</v>
      </c>
      <c r="C20" s="106" t="s">
        <v>836</v>
      </c>
      <c r="D20" s="95" t="s">
        <v>91</v>
      </c>
      <c r="E20" s="112">
        <v>45979</v>
      </c>
      <c r="F20" s="113">
        <v>45983</v>
      </c>
      <c r="G20" s="133">
        <v>45979</v>
      </c>
      <c r="H20" s="82" t="s">
        <v>16</v>
      </c>
      <c r="I20" s="127" t="s">
        <v>92</v>
      </c>
      <c r="J20" s="127" t="s">
        <v>41</v>
      </c>
      <c r="K20" s="130" t="s">
        <v>93</v>
      </c>
    </row>
    <row r="21" spans="1:11" ht="14.25" x14ac:dyDescent="0.2">
      <c r="A21" s="105" t="s">
        <v>399</v>
      </c>
      <c r="B21" s="106" t="s">
        <v>13</v>
      </c>
      <c r="C21" s="106" t="s">
        <v>94</v>
      </c>
      <c r="D21" s="95" t="s">
        <v>95</v>
      </c>
      <c r="E21" s="112">
        <v>45979</v>
      </c>
      <c r="F21" s="113">
        <v>45983</v>
      </c>
      <c r="G21" s="133">
        <v>45980</v>
      </c>
      <c r="H21" s="82" t="s">
        <v>16</v>
      </c>
      <c r="I21" s="127" t="s">
        <v>96</v>
      </c>
      <c r="J21" s="127" t="s">
        <v>97</v>
      </c>
      <c r="K21" s="130" t="s">
        <v>98</v>
      </c>
    </row>
    <row r="22" spans="1:11" ht="15" x14ac:dyDescent="0.25">
      <c r="A22" s="105" t="s">
        <v>43</v>
      </c>
      <c r="B22" s="106" t="s">
        <v>20</v>
      </c>
      <c r="C22" s="146" t="s">
        <v>842</v>
      </c>
      <c r="D22" s="95" t="s">
        <v>99</v>
      </c>
      <c r="E22" s="112">
        <v>45980</v>
      </c>
      <c r="F22" s="113">
        <v>45983</v>
      </c>
      <c r="G22" s="133">
        <v>45980</v>
      </c>
      <c r="H22" s="82" t="s">
        <v>16</v>
      </c>
      <c r="I22" s="127" t="s">
        <v>100</v>
      </c>
      <c r="J22" s="127" t="s">
        <v>101</v>
      </c>
      <c r="K22" s="130" t="s">
        <v>102</v>
      </c>
    </row>
    <row r="23" spans="1:11" ht="14.25" x14ac:dyDescent="0.2">
      <c r="A23" s="105" t="s">
        <v>12</v>
      </c>
      <c r="B23" s="106" t="s">
        <v>13</v>
      </c>
      <c r="C23" s="106" t="s">
        <v>103</v>
      </c>
      <c r="D23" s="95" t="s">
        <v>104</v>
      </c>
      <c r="E23" s="112">
        <v>45979</v>
      </c>
      <c r="F23" s="113">
        <v>45983</v>
      </c>
      <c r="G23" s="133">
        <v>45981</v>
      </c>
      <c r="H23" s="82" t="s">
        <v>16</v>
      </c>
      <c r="I23" s="127" t="s">
        <v>105</v>
      </c>
      <c r="J23" s="127" t="s">
        <v>106</v>
      </c>
      <c r="K23" s="130" t="s">
        <v>105</v>
      </c>
    </row>
    <row r="24" spans="1:11" ht="14.25" x14ac:dyDescent="0.2">
      <c r="A24" s="105" t="s">
        <v>12</v>
      </c>
      <c r="B24" s="106" t="s">
        <v>20</v>
      </c>
      <c r="C24" s="106" t="s">
        <v>824</v>
      </c>
      <c r="D24" s="95" t="s">
        <v>95</v>
      </c>
      <c r="E24" s="112">
        <v>45979</v>
      </c>
      <c r="F24" s="113">
        <v>45983</v>
      </c>
      <c r="G24" s="133">
        <v>45981</v>
      </c>
      <c r="H24" s="82" t="s">
        <v>16</v>
      </c>
      <c r="I24" s="127" t="s">
        <v>108</v>
      </c>
      <c r="J24" s="127" t="s">
        <v>109</v>
      </c>
      <c r="K24" s="130" t="s">
        <v>110</v>
      </c>
    </row>
    <row r="25" spans="1:11" ht="14.25" x14ac:dyDescent="0.2">
      <c r="A25" s="105" t="s">
        <v>25</v>
      </c>
      <c r="B25" s="106" t="s">
        <v>20</v>
      </c>
      <c r="C25" s="106" t="s">
        <v>391</v>
      </c>
      <c r="D25" s="95" t="s">
        <v>54</v>
      </c>
      <c r="E25" s="112">
        <v>45980</v>
      </c>
      <c r="F25" s="113">
        <v>45983</v>
      </c>
      <c r="G25" s="133">
        <v>45982</v>
      </c>
      <c r="H25" s="82" t="s">
        <v>16</v>
      </c>
      <c r="I25" s="127" t="s">
        <v>111</v>
      </c>
      <c r="J25" s="127" t="s">
        <v>29</v>
      </c>
      <c r="K25" s="130" t="s">
        <v>71</v>
      </c>
    </row>
    <row r="26" spans="1:11" ht="14.25" x14ac:dyDescent="0.2">
      <c r="A26" s="105" t="s">
        <v>25</v>
      </c>
      <c r="B26" s="106" t="s">
        <v>13</v>
      </c>
      <c r="C26" s="106" t="s">
        <v>112</v>
      </c>
      <c r="D26" s="95" t="s">
        <v>72</v>
      </c>
      <c r="E26" s="113">
        <v>45980</v>
      </c>
      <c r="F26" s="113">
        <v>45983</v>
      </c>
      <c r="G26" s="133">
        <v>45982</v>
      </c>
      <c r="H26" s="82" t="s">
        <v>16</v>
      </c>
      <c r="I26" s="127" t="s">
        <v>113</v>
      </c>
      <c r="J26" s="127" t="s">
        <v>114</v>
      </c>
      <c r="K26" s="132" t="s">
        <v>115</v>
      </c>
    </row>
    <row r="27" spans="1:11" ht="14.25" x14ac:dyDescent="0.2">
      <c r="A27" s="105" t="s">
        <v>394</v>
      </c>
      <c r="B27" s="106" t="s">
        <v>20</v>
      </c>
      <c r="C27" s="106" t="s">
        <v>793</v>
      </c>
      <c r="D27" s="95" t="s">
        <v>117</v>
      </c>
      <c r="E27" s="112">
        <v>45980</v>
      </c>
      <c r="F27" s="113">
        <v>45983</v>
      </c>
      <c r="G27" s="133">
        <v>45983</v>
      </c>
      <c r="H27" s="82" t="s">
        <v>16</v>
      </c>
      <c r="I27" s="127" t="s">
        <v>118</v>
      </c>
      <c r="J27" s="127" t="s">
        <v>37</v>
      </c>
      <c r="K27" s="130" t="s">
        <v>119</v>
      </c>
    </row>
    <row r="28" spans="1:11" ht="14.25" x14ac:dyDescent="0.2">
      <c r="A28" s="105" t="s">
        <v>394</v>
      </c>
      <c r="B28" s="106" t="s">
        <v>13</v>
      </c>
      <c r="C28" s="106" t="s">
        <v>814</v>
      </c>
      <c r="D28" s="95" t="s">
        <v>120</v>
      </c>
      <c r="E28" s="110">
        <v>45980</v>
      </c>
      <c r="F28" s="111">
        <v>45983</v>
      </c>
      <c r="G28" s="133">
        <v>45983</v>
      </c>
      <c r="H28" s="82" t="s">
        <v>16</v>
      </c>
      <c r="I28" s="127" t="s">
        <v>121</v>
      </c>
      <c r="J28" s="127" t="s">
        <v>122</v>
      </c>
      <c r="K28" s="130" t="s">
        <v>123</v>
      </c>
    </row>
    <row r="29" spans="1:11" ht="14.25" customHeight="1" x14ac:dyDescent="0.2">
      <c r="A29" s="105" t="s">
        <v>43</v>
      </c>
      <c r="B29" s="106" t="s">
        <v>13</v>
      </c>
      <c r="C29" s="106" t="s">
        <v>837</v>
      </c>
      <c r="D29" s="95" t="s">
        <v>91</v>
      </c>
      <c r="E29" s="112">
        <v>45980</v>
      </c>
      <c r="F29" s="113">
        <v>45984</v>
      </c>
      <c r="G29" s="133">
        <v>45984</v>
      </c>
      <c r="H29" s="82" t="s">
        <v>16</v>
      </c>
      <c r="I29" s="127" t="s">
        <v>124</v>
      </c>
      <c r="J29" s="127" t="s">
        <v>125</v>
      </c>
      <c r="K29" s="149" t="s">
        <v>126</v>
      </c>
    </row>
    <row r="30" spans="1:11" ht="14.25" x14ac:dyDescent="0.2">
      <c r="A30" s="105" t="s">
        <v>399</v>
      </c>
      <c r="B30" s="106" t="s">
        <v>20</v>
      </c>
      <c r="C30" s="106" t="s">
        <v>127</v>
      </c>
      <c r="D30" s="95" t="s">
        <v>82</v>
      </c>
      <c r="E30" s="112">
        <v>45984</v>
      </c>
      <c r="F30" s="113">
        <v>45988</v>
      </c>
      <c r="G30" s="133">
        <v>45987</v>
      </c>
      <c r="H30" s="82" t="s">
        <v>16</v>
      </c>
      <c r="I30" s="127" t="s">
        <v>128</v>
      </c>
      <c r="J30" s="127" t="s">
        <v>129</v>
      </c>
      <c r="K30" s="130" t="s">
        <v>128</v>
      </c>
    </row>
    <row r="31" spans="1:11" ht="14.25" customHeight="1" x14ac:dyDescent="0.2">
      <c r="A31" s="105" t="s">
        <v>399</v>
      </c>
      <c r="B31" s="106" t="s">
        <v>20</v>
      </c>
      <c r="C31" s="106" t="s">
        <v>792</v>
      </c>
      <c r="D31" s="95" t="s">
        <v>131</v>
      </c>
      <c r="E31" s="112">
        <v>45985</v>
      </c>
      <c r="F31" s="113">
        <v>45990</v>
      </c>
      <c r="G31" s="133">
        <v>45989</v>
      </c>
      <c r="H31" s="82" t="s">
        <v>16</v>
      </c>
      <c r="I31" s="127" t="s">
        <v>132</v>
      </c>
      <c r="J31" s="127" t="s">
        <v>133</v>
      </c>
      <c r="K31" s="130" t="s">
        <v>134</v>
      </c>
    </row>
    <row r="32" spans="1:11" ht="14.25" x14ac:dyDescent="0.2">
      <c r="A32" s="105" t="s">
        <v>43</v>
      </c>
      <c r="B32" s="106" t="s">
        <v>20</v>
      </c>
      <c r="C32" s="106" t="s">
        <v>840</v>
      </c>
      <c r="D32" s="95" t="s">
        <v>136</v>
      </c>
      <c r="E32" s="110">
        <v>46043</v>
      </c>
      <c r="F32" s="111">
        <v>46046</v>
      </c>
      <c r="G32" s="133">
        <v>46046</v>
      </c>
      <c r="H32" s="82" t="s">
        <v>16</v>
      </c>
      <c r="I32" s="127" t="s">
        <v>137</v>
      </c>
      <c r="J32" s="127" t="s">
        <v>138</v>
      </c>
      <c r="K32" s="127" t="s">
        <v>139</v>
      </c>
    </row>
    <row r="33" spans="1:11" ht="14.25" x14ac:dyDescent="0.2">
      <c r="A33" s="116" t="s">
        <v>12</v>
      </c>
      <c r="B33" s="117" t="s">
        <v>13</v>
      </c>
      <c r="C33" s="117" t="s">
        <v>140</v>
      </c>
      <c r="D33" s="95" t="s">
        <v>141</v>
      </c>
      <c r="E33" s="110">
        <v>46047</v>
      </c>
      <c r="F33" s="111">
        <v>46053</v>
      </c>
      <c r="G33" s="133">
        <v>46052</v>
      </c>
      <c r="H33" s="82" t="s">
        <v>16</v>
      </c>
      <c r="I33" s="127" t="s">
        <v>142</v>
      </c>
      <c r="J33" s="127" t="s">
        <v>32</v>
      </c>
      <c r="K33" s="127" t="s">
        <v>143</v>
      </c>
    </row>
    <row r="34" spans="1:11" ht="14.25" x14ac:dyDescent="0.2">
      <c r="A34" s="105" t="s">
        <v>25</v>
      </c>
      <c r="B34" s="106" t="s">
        <v>13</v>
      </c>
      <c r="C34" s="106" t="s">
        <v>144</v>
      </c>
      <c r="D34" s="95" t="s">
        <v>145</v>
      </c>
      <c r="E34" s="110">
        <v>46050</v>
      </c>
      <c r="F34" s="111">
        <v>46053</v>
      </c>
      <c r="G34" s="133">
        <v>46053</v>
      </c>
      <c r="H34" s="82" t="s">
        <v>16</v>
      </c>
      <c r="I34" s="127" t="s">
        <v>146</v>
      </c>
      <c r="J34" s="127" t="s">
        <v>147</v>
      </c>
      <c r="K34" s="130" t="s">
        <v>71</v>
      </c>
    </row>
    <row r="35" spans="1:11" ht="14.25" x14ac:dyDescent="0.2">
      <c r="A35" s="105" t="s">
        <v>25</v>
      </c>
      <c r="B35" s="106" t="s">
        <v>20</v>
      </c>
      <c r="C35" s="106" t="s">
        <v>806</v>
      </c>
      <c r="D35" s="122" t="s">
        <v>149</v>
      </c>
      <c r="E35" s="120">
        <v>46056</v>
      </c>
      <c r="F35" s="118">
        <v>46060</v>
      </c>
      <c r="G35" s="133">
        <v>46060</v>
      </c>
      <c r="H35" s="82" t="s">
        <v>16</v>
      </c>
      <c r="I35" s="131" t="s">
        <v>150</v>
      </c>
      <c r="J35" s="131" t="s">
        <v>151</v>
      </c>
      <c r="K35" s="130" t="s">
        <v>152</v>
      </c>
    </row>
    <row r="36" spans="1:11" ht="14.25" x14ac:dyDescent="0.2">
      <c r="A36" s="105" t="s">
        <v>394</v>
      </c>
      <c r="B36" s="106" t="s">
        <v>20</v>
      </c>
      <c r="C36" s="106" t="s">
        <v>153</v>
      </c>
      <c r="D36" s="95" t="s">
        <v>22</v>
      </c>
      <c r="E36" s="120">
        <v>46063</v>
      </c>
      <c r="F36" s="118">
        <v>46065</v>
      </c>
      <c r="G36" s="133">
        <v>46064</v>
      </c>
      <c r="H36" s="82" t="s">
        <v>16</v>
      </c>
      <c r="I36" s="127" t="s">
        <v>154</v>
      </c>
      <c r="J36" s="127" t="s">
        <v>155</v>
      </c>
      <c r="K36" s="132"/>
    </row>
    <row r="37" spans="1:11" ht="14.25" x14ac:dyDescent="0.2">
      <c r="A37" s="105" t="s">
        <v>394</v>
      </c>
      <c r="B37" s="106" t="s">
        <v>13</v>
      </c>
      <c r="C37" s="106" t="s">
        <v>831</v>
      </c>
      <c r="D37" s="95" t="s">
        <v>27</v>
      </c>
      <c r="E37" s="112">
        <v>46068</v>
      </c>
      <c r="F37" s="113">
        <v>46074</v>
      </c>
      <c r="G37" s="133">
        <v>46069</v>
      </c>
      <c r="H37" s="82" t="s">
        <v>16</v>
      </c>
      <c r="I37" s="127" t="s">
        <v>157</v>
      </c>
      <c r="J37" s="127" t="s">
        <v>158</v>
      </c>
      <c r="K37" s="130" t="s">
        <v>159</v>
      </c>
    </row>
    <row r="38" spans="1:11" ht="14.25" x14ac:dyDescent="0.2">
      <c r="A38" s="105" t="s">
        <v>394</v>
      </c>
      <c r="B38" s="106" t="s">
        <v>20</v>
      </c>
      <c r="C38" s="106" t="s">
        <v>160</v>
      </c>
      <c r="D38" s="95" t="s">
        <v>161</v>
      </c>
      <c r="E38" s="110">
        <v>46068</v>
      </c>
      <c r="F38" s="111">
        <v>46074</v>
      </c>
      <c r="G38" s="133">
        <v>46070</v>
      </c>
      <c r="H38" s="82" t="s">
        <v>16</v>
      </c>
      <c r="I38" s="127" t="s">
        <v>162</v>
      </c>
      <c r="J38" s="127" t="s">
        <v>163</v>
      </c>
      <c r="K38" s="130" t="s">
        <v>164</v>
      </c>
    </row>
    <row r="39" spans="1:11" ht="14.25" x14ac:dyDescent="0.2">
      <c r="A39" s="105" t="s">
        <v>43</v>
      </c>
      <c r="B39" s="106" t="s">
        <v>20</v>
      </c>
      <c r="C39" s="106" t="s">
        <v>165</v>
      </c>
      <c r="D39" s="95" t="s">
        <v>166</v>
      </c>
      <c r="E39" s="110">
        <v>46070</v>
      </c>
      <c r="F39" s="111">
        <v>46074</v>
      </c>
      <c r="G39" s="133">
        <v>46071</v>
      </c>
      <c r="H39" s="82" t="s">
        <v>16</v>
      </c>
      <c r="I39" s="127" t="s">
        <v>87</v>
      </c>
      <c r="J39" s="127" t="s">
        <v>50</v>
      </c>
      <c r="K39" s="130" t="s">
        <v>167</v>
      </c>
    </row>
    <row r="40" spans="1:11" ht="14.25" x14ac:dyDescent="0.2">
      <c r="A40" s="105" t="s">
        <v>394</v>
      </c>
      <c r="B40" s="106" t="s">
        <v>20</v>
      </c>
      <c r="C40" s="106" t="s">
        <v>168</v>
      </c>
      <c r="D40" s="95" t="s">
        <v>169</v>
      </c>
      <c r="E40" s="110">
        <v>46070</v>
      </c>
      <c r="F40" s="111">
        <v>46074</v>
      </c>
      <c r="G40" s="133">
        <v>46072</v>
      </c>
      <c r="H40" s="82" t="s">
        <v>16</v>
      </c>
      <c r="I40" s="127" t="s">
        <v>170</v>
      </c>
      <c r="J40" s="127" t="s">
        <v>70</v>
      </c>
      <c r="K40" s="130" t="s">
        <v>171</v>
      </c>
    </row>
    <row r="41" spans="1:11" ht="17.25" customHeight="1" x14ac:dyDescent="0.2">
      <c r="A41" s="105" t="s">
        <v>52</v>
      </c>
      <c r="B41" s="106" t="s">
        <v>20</v>
      </c>
      <c r="C41" s="106" t="s">
        <v>172</v>
      </c>
      <c r="D41" s="95" t="s">
        <v>117</v>
      </c>
      <c r="E41" s="110">
        <v>46072</v>
      </c>
      <c r="F41" s="111">
        <v>46079</v>
      </c>
      <c r="G41" s="133">
        <v>46073</v>
      </c>
      <c r="H41" s="82" t="s">
        <v>16</v>
      </c>
      <c r="I41" s="131" t="s">
        <v>173</v>
      </c>
      <c r="J41" s="131" t="s">
        <v>174</v>
      </c>
      <c r="K41" s="130" t="s">
        <v>175</v>
      </c>
    </row>
    <row r="42" spans="1:11" ht="14.25" x14ac:dyDescent="0.2">
      <c r="A42" s="105" t="s">
        <v>43</v>
      </c>
      <c r="B42" s="106" t="s">
        <v>20</v>
      </c>
      <c r="C42" s="106" t="s">
        <v>805</v>
      </c>
      <c r="D42" s="95" t="s">
        <v>54</v>
      </c>
      <c r="E42" s="110">
        <v>46071</v>
      </c>
      <c r="F42" s="111">
        <v>46074</v>
      </c>
      <c r="G42" s="133">
        <v>46074</v>
      </c>
      <c r="H42" s="82" t="s">
        <v>16</v>
      </c>
      <c r="I42" s="131" t="s">
        <v>79</v>
      </c>
      <c r="J42" s="131" t="s">
        <v>177</v>
      </c>
      <c r="K42" s="130" t="s">
        <v>79</v>
      </c>
    </row>
    <row r="43" spans="1:11" ht="14.25" x14ac:dyDescent="0.2">
      <c r="A43" s="105" t="s">
        <v>43</v>
      </c>
      <c r="B43" s="106" t="s">
        <v>20</v>
      </c>
      <c r="C43" s="106" t="s">
        <v>842</v>
      </c>
      <c r="D43" s="95" t="s">
        <v>178</v>
      </c>
      <c r="E43" s="112">
        <v>46078</v>
      </c>
      <c r="F43" s="113">
        <v>46081</v>
      </c>
      <c r="G43" s="133">
        <v>46078</v>
      </c>
      <c r="H43" s="82" t="s">
        <v>16</v>
      </c>
      <c r="I43" s="127" t="s">
        <v>179</v>
      </c>
      <c r="J43" s="127" t="s">
        <v>180</v>
      </c>
      <c r="K43" s="130" t="s">
        <v>181</v>
      </c>
    </row>
    <row r="44" spans="1:11" ht="14.25" x14ac:dyDescent="0.2">
      <c r="A44" s="105" t="s">
        <v>394</v>
      </c>
      <c r="B44" s="106" t="s">
        <v>13</v>
      </c>
      <c r="C44" s="106" t="s">
        <v>419</v>
      </c>
      <c r="D44" s="95" t="s">
        <v>182</v>
      </c>
      <c r="E44" s="120">
        <v>46093</v>
      </c>
      <c r="F44" s="118">
        <v>46095</v>
      </c>
      <c r="G44" s="133">
        <v>46081</v>
      </c>
      <c r="H44" s="82" t="s">
        <v>16</v>
      </c>
      <c r="I44" s="127" t="s">
        <v>183</v>
      </c>
      <c r="J44" s="127" t="s">
        <v>184</v>
      </c>
      <c r="K44" s="130" t="s">
        <v>185</v>
      </c>
    </row>
    <row r="45" spans="1:11" ht="14.25" x14ac:dyDescent="0.2">
      <c r="A45" s="105" t="s">
        <v>43</v>
      </c>
      <c r="B45" s="106" t="s">
        <v>20</v>
      </c>
      <c r="C45" s="106" t="s">
        <v>186</v>
      </c>
      <c r="D45" s="95" t="s">
        <v>161</v>
      </c>
      <c r="E45" s="110">
        <v>46083</v>
      </c>
      <c r="F45" s="111">
        <v>46088</v>
      </c>
      <c r="G45" s="113">
        <v>46085</v>
      </c>
      <c r="H45" s="82" t="s">
        <v>16</v>
      </c>
      <c r="I45" s="127" t="s">
        <v>187</v>
      </c>
      <c r="J45" s="127" t="s">
        <v>188</v>
      </c>
      <c r="K45" s="130" t="s">
        <v>175</v>
      </c>
    </row>
    <row r="46" spans="1:11" ht="14.25" x14ac:dyDescent="0.2">
      <c r="A46" s="105" t="s">
        <v>52</v>
      </c>
      <c r="B46" s="106" t="s">
        <v>20</v>
      </c>
      <c r="C46" s="106" t="s">
        <v>786</v>
      </c>
      <c r="D46" s="95" t="s">
        <v>166</v>
      </c>
      <c r="E46" s="120">
        <v>46084</v>
      </c>
      <c r="F46" s="118">
        <v>46088</v>
      </c>
      <c r="G46" s="133">
        <v>46088</v>
      </c>
      <c r="H46" s="82" t="s">
        <v>16</v>
      </c>
      <c r="I46" s="131" t="s">
        <v>190</v>
      </c>
      <c r="J46" s="131" t="s">
        <v>191</v>
      </c>
      <c r="K46" s="130" t="s">
        <v>192</v>
      </c>
    </row>
    <row r="47" spans="1:11" ht="14.25" x14ac:dyDescent="0.2">
      <c r="A47" s="105" t="s">
        <v>43</v>
      </c>
      <c r="B47" s="106" t="s">
        <v>13</v>
      </c>
      <c r="C47" s="106" t="s">
        <v>193</v>
      </c>
      <c r="D47" s="95" t="s">
        <v>117</v>
      </c>
      <c r="E47" s="120">
        <v>46088</v>
      </c>
      <c r="F47" s="118">
        <v>46094</v>
      </c>
      <c r="G47" s="113">
        <v>46090</v>
      </c>
      <c r="H47" s="82" t="s">
        <v>16</v>
      </c>
      <c r="I47" s="127" t="s">
        <v>59</v>
      </c>
      <c r="J47" s="127" t="s">
        <v>194</v>
      </c>
      <c r="K47" s="130" t="s">
        <v>57</v>
      </c>
    </row>
    <row r="48" spans="1:11" ht="12.75" customHeight="1" x14ac:dyDescent="0.2">
      <c r="A48" s="105" t="s">
        <v>12</v>
      </c>
      <c r="B48" s="106" t="s">
        <v>13</v>
      </c>
      <c r="C48" s="106" t="s">
        <v>195</v>
      </c>
      <c r="D48" s="95" t="s">
        <v>27</v>
      </c>
      <c r="E48" s="114">
        <v>46091</v>
      </c>
      <c r="F48" s="115">
        <v>46095</v>
      </c>
      <c r="G48" s="133">
        <v>46092</v>
      </c>
      <c r="H48" s="82" t="s">
        <v>16</v>
      </c>
      <c r="I48" s="127" t="s">
        <v>196</v>
      </c>
      <c r="J48" s="127" t="s">
        <v>197</v>
      </c>
      <c r="K48" s="130"/>
    </row>
    <row r="49" spans="1:11" ht="14.25" x14ac:dyDescent="0.2">
      <c r="A49" s="105" t="s">
        <v>12</v>
      </c>
      <c r="B49" s="106" t="s">
        <v>20</v>
      </c>
      <c r="C49" s="106" t="s">
        <v>198</v>
      </c>
      <c r="D49" s="95" t="s">
        <v>199</v>
      </c>
      <c r="E49" s="120">
        <v>46092</v>
      </c>
      <c r="F49" s="118">
        <v>46095</v>
      </c>
      <c r="G49" s="133">
        <v>46092</v>
      </c>
      <c r="H49" s="82" t="s">
        <v>16</v>
      </c>
      <c r="I49" s="127" t="s">
        <v>200</v>
      </c>
      <c r="J49" s="127" t="s">
        <v>201</v>
      </c>
      <c r="K49" s="130"/>
    </row>
    <row r="50" spans="1:11" ht="14.25" x14ac:dyDescent="0.2">
      <c r="A50" s="105" t="s">
        <v>43</v>
      </c>
      <c r="B50" s="106" t="s">
        <v>13</v>
      </c>
      <c r="C50" s="106" t="s">
        <v>202</v>
      </c>
      <c r="D50" s="95" t="s">
        <v>78</v>
      </c>
      <c r="E50" s="120">
        <v>46093</v>
      </c>
      <c r="F50" s="118">
        <v>46095</v>
      </c>
      <c r="G50" s="133">
        <v>46093</v>
      </c>
      <c r="H50" s="82" t="s">
        <v>16</v>
      </c>
      <c r="I50" s="127" t="s">
        <v>203</v>
      </c>
      <c r="J50" s="127" t="s">
        <v>204</v>
      </c>
      <c r="K50" s="130" t="s">
        <v>205</v>
      </c>
    </row>
    <row r="51" spans="1:11" ht="14.25" x14ac:dyDescent="0.2">
      <c r="A51" s="105" t="s">
        <v>394</v>
      </c>
      <c r="B51" s="106" t="s">
        <v>13</v>
      </c>
      <c r="C51" s="106" t="s">
        <v>818</v>
      </c>
      <c r="D51" s="95" t="s">
        <v>207</v>
      </c>
      <c r="E51" s="120">
        <v>46093</v>
      </c>
      <c r="F51" s="118">
        <v>46095</v>
      </c>
      <c r="G51" s="133">
        <v>46094</v>
      </c>
      <c r="H51" s="82" t="s">
        <v>16</v>
      </c>
      <c r="I51" s="127" t="s">
        <v>208</v>
      </c>
      <c r="J51" s="127" t="s">
        <v>209</v>
      </c>
      <c r="K51" s="130" t="s">
        <v>210</v>
      </c>
    </row>
    <row r="52" spans="1:11" ht="14.25" x14ac:dyDescent="0.2">
      <c r="A52" s="105" t="s">
        <v>399</v>
      </c>
      <c r="B52" s="106" t="s">
        <v>13</v>
      </c>
      <c r="C52" s="106" t="s">
        <v>211</v>
      </c>
      <c r="D52" s="95" t="s">
        <v>212</v>
      </c>
      <c r="E52" s="114">
        <v>46090</v>
      </c>
      <c r="F52" s="115">
        <v>46095</v>
      </c>
      <c r="G52" s="113">
        <v>46095</v>
      </c>
      <c r="H52" s="82" t="s">
        <v>16</v>
      </c>
      <c r="I52" s="127" t="s">
        <v>213</v>
      </c>
      <c r="J52" s="127" t="s">
        <v>155</v>
      </c>
      <c r="K52" s="132" t="s">
        <v>214</v>
      </c>
    </row>
    <row r="53" spans="1:11" ht="14.25" x14ac:dyDescent="0.2">
      <c r="A53" s="105" t="s">
        <v>394</v>
      </c>
      <c r="B53" s="106" t="s">
        <v>20</v>
      </c>
      <c r="C53" s="106" t="s">
        <v>215</v>
      </c>
      <c r="D53" s="95" t="s">
        <v>117</v>
      </c>
      <c r="E53" s="113">
        <v>46099</v>
      </c>
      <c r="F53" s="113">
        <v>46102</v>
      </c>
      <c r="G53" s="133">
        <v>46101</v>
      </c>
      <c r="H53" s="82" t="s">
        <v>16</v>
      </c>
      <c r="I53" s="127" t="s">
        <v>183</v>
      </c>
      <c r="J53" s="127" t="s">
        <v>216</v>
      </c>
      <c r="K53" s="132" t="s">
        <v>217</v>
      </c>
    </row>
    <row r="54" spans="1:11" ht="14.25" x14ac:dyDescent="0.2">
      <c r="A54" s="105" t="s">
        <v>394</v>
      </c>
      <c r="B54" s="106" t="s">
        <v>13</v>
      </c>
      <c r="C54" s="106" t="s">
        <v>218</v>
      </c>
      <c r="D54" s="95" t="s">
        <v>219</v>
      </c>
      <c r="E54" s="120">
        <v>46100</v>
      </c>
      <c r="F54" s="118">
        <v>46102</v>
      </c>
      <c r="G54" s="133">
        <v>46102</v>
      </c>
      <c r="H54" s="82" t="s">
        <v>16</v>
      </c>
      <c r="I54" s="127" t="s">
        <v>118</v>
      </c>
      <c r="J54" s="127" t="s">
        <v>209</v>
      </c>
      <c r="K54" s="130" t="s">
        <v>118</v>
      </c>
    </row>
    <row r="55" spans="1:11" ht="20.25" customHeight="1" x14ac:dyDescent="0.2">
      <c r="A55" s="105" t="s">
        <v>43</v>
      </c>
      <c r="B55" s="106" t="s">
        <v>20</v>
      </c>
      <c r="C55" s="106" t="s">
        <v>220</v>
      </c>
      <c r="D55" s="95" t="s">
        <v>221</v>
      </c>
      <c r="E55" s="118">
        <v>46100</v>
      </c>
      <c r="F55" s="118">
        <v>46109</v>
      </c>
      <c r="G55" s="133">
        <v>46102</v>
      </c>
      <c r="H55" s="82" t="s">
        <v>16</v>
      </c>
      <c r="I55" s="127" t="s">
        <v>222</v>
      </c>
      <c r="J55" s="127" t="s">
        <v>223</v>
      </c>
      <c r="K55" s="130" t="s">
        <v>224</v>
      </c>
    </row>
    <row r="56" spans="1:11" ht="14.25" x14ac:dyDescent="0.2">
      <c r="A56" s="105" t="s">
        <v>43</v>
      </c>
      <c r="B56" s="106" t="s">
        <v>20</v>
      </c>
      <c r="C56" s="106" t="s">
        <v>839</v>
      </c>
      <c r="D56" s="95" t="s">
        <v>225</v>
      </c>
      <c r="E56" s="120">
        <v>46105</v>
      </c>
      <c r="F56" s="118">
        <v>46109</v>
      </c>
      <c r="G56" s="133">
        <v>46106</v>
      </c>
      <c r="H56" s="82" t="s">
        <v>16</v>
      </c>
      <c r="I56" s="127" t="s">
        <v>87</v>
      </c>
      <c r="J56" s="127" t="s">
        <v>80</v>
      </c>
      <c r="K56" s="130" t="s">
        <v>226</v>
      </c>
    </row>
    <row r="57" spans="1:11" ht="14.25" x14ac:dyDescent="0.2">
      <c r="A57" s="105" t="s">
        <v>394</v>
      </c>
      <c r="B57" s="106" t="s">
        <v>13</v>
      </c>
      <c r="C57" s="106" t="s">
        <v>820</v>
      </c>
      <c r="D57" s="95" t="s">
        <v>228</v>
      </c>
      <c r="E57" s="111">
        <v>46105</v>
      </c>
      <c r="F57" s="111">
        <v>46109</v>
      </c>
      <c r="G57" s="133">
        <v>46107</v>
      </c>
      <c r="H57" s="82" t="s">
        <v>16</v>
      </c>
      <c r="I57" s="127" t="s">
        <v>229</v>
      </c>
      <c r="J57" s="127" t="s">
        <v>230</v>
      </c>
      <c r="K57" s="132" t="s">
        <v>231</v>
      </c>
    </row>
    <row r="58" spans="1:11" ht="14.25" x14ac:dyDescent="0.2">
      <c r="A58" s="105" t="s">
        <v>394</v>
      </c>
      <c r="B58" s="106" t="s">
        <v>20</v>
      </c>
      <c r="C58" s="106" t="s">
        <v>232</v>
      </c>
      <c r="D58" s="95" t="s">
        <v>233</v>
      </c>
      <c r="E58" s="120">
        <v>46105</v>
      </c>
      <c r="F58" s="118">
        <v>46109</v>
      </c>
      <c r="G58" s="113">
        <v>46108</v>
      </c>
      <c r="H58" s="82" t="s">
        <v>16</v>
      </c>
      <c r="I58" s="127" t="s">
        <v>157</v>
      </c>
      <c r="J58" s="127" t="s">
        <v>70</v>
      </c>
      <c r="K58" s="130" t="s">
        <v>157</v>
      </c>
    </row>
    <row r="59" spans="1:11" ht="15.75" x14ac:dyDescent="0.25">
      <c r="A59" s="158" t="s">
        <v>394</v>
      </c>
      <c r="B59" s="69" t="s">
        <v>13</v>
      </c>
      <c r="C59" s="69" t="s">
        <v>234</v>
      </c>
      <c r="D59" s="72" t="s">
        <v>235</v>
      </c>
      <c r="E59" s="110">
        <v>46105</v>
      </c>
      <c r="F59" s="110">
        <v>46108</v>
      </c>
      <c r="G59" s="133">
        <v>46108</v>
      </c>
      <c r="H59" s="82" t="s">
        <v>16</v>
      </c>
      <c r="I59" s="127" t="s">
        <v>236</v>
      </c>
      <c r="J59" s="127" t="s">
        <v>237</v>
      </c>
      <c r="K59" s="130" t="s">
        <v>238</v>
      </c>
    </row>
    <row r="60" spans="1:11" ht="14.25" hidden="1" x14ac:dyDescent="0.2">
      <c r="A60" s="105" t="s">
        <v>25</v>
      </c>
      <c r="B60" s="106" t="s">
        <v>13</v>
      </c>
      <c r="C60" s="106" t="s">
        <v>239</v>
      </c>
      <c r="D60" s="95" t="s">
        <v>240</v>
      </c>
      <c r="E60" s="147" t="s">
        <v>241</v>
      </c>
      <c r="F60" s="117" t="s">
        <v>241</v>
      </c>
      <c r="G60" s="117" t="s">
        <v>241</v>
      </c>
      <c r="H60" s="117" t="s">
        <v>241</v>
      </c>
      <c r="I60" s="127"/>
      <c r="J60" s="127"/>
      <c r="K60" s="130"/>
    </row>
    <row r="61" spans="1:11" ht="14.25" hidden="1" x14ac:dyDescent="0.2">
      <c r="A61" s="105" t="s">
        <v>52</v>
      </c>
      <c r="B61" s="106" t="s">
        <v>13</v>
      </c>
      <c r="C61" s="106" t="s">
        <v>242</v>
      </c>
      <c r="D61" s="95" t="s">
        <v>243</v>
      </c>
      <c r="E61" s="147" t="s">
        <v>241</v>
      </c>
      <c r="F61" s="117" t="s">
        <v>241</v>
      </c>
      <c r="G61" s="117" t="s">
        <v>241</v>
      </c>
      <c r="H61" s="117" t="s">
        <v>241</v>
      </c>
      <c r="I61" s="131"/>
      <c r="J61" s="131"/>
      <c r="K61" s="130"/>
    </row>
    <row r="62" spans="1:11" ht="14.25" x14ac:dyDescent="0.2">
      <c r="A62" s="105" t="s">
        <v>394</v>
      </c>
      <c r="B62" s="106" t="s">
        <v>20</v>
      </c>
      <c r="C62" s="106" t="s">
        <v>244</v>
      </c>
      <c r="D62" s="95" t="s">
        <v>245</v>
      </c>
      <c r="E62" s="120">
        <v>46095</v>
      </c>
      <c r="F62" s="118">
        <v>46105</v>
      </c>
      <c r="G62" s="133">
        <v>46109</v>
      </c>
      <c r="H62" s="82" t="s">
        <v>16</v>
      </c>
      <c r="I62" s="127" t="s">
        <v>246</v>
      </c>
      <c r="J62" s="127" t="s">
        <v>247</v>
      </c>
      <c r="K62" s="130" t="s">
        <v>248</v>
      </c>
    </row>
    <row r="63" spans="1:11" ht="14.25" x14ac:dyDescent="0.2">
      <c r="A63" s="105" t="s">
        <v>52</v>
      </c>
      <c r="B63" s="106" t="s">
        <v>13</v>
      </c>
      <c r="C63" s="106" t="s">
        <v>789</v>
      </c>
      <c r="D63" s="95" t="s">
        <v>249</v>
      </c>
      <c r="E63" s="110">
        <v>46106</v>
      </c>
      <c r="F63" s="111">
        <v>46109</v>
      </c>
      <c r="G63" s="133">
        <v>46109</v>
      </c>
      <c r="H63" s="82" t="s">
        <v>16</v>
      </c>
      <c r="I63" s="127" t="s">
        <v>250</v>
      </c>
      <c r="J63" s="127" t="s">
        <v>29</v>
      </c>
      <c r="K63" s="130" t="s">
        <v>28</v>
      </c>
    </row>
    <row r="64" spans="1:11" ht="14.25" hidden="1" x14ac:dyDescent="0.2">
      <c r="A64" s="116" t="s">
        <v>12</v>
      </c>
      <c r="B64" s="106" t="s">
        <v>13</v>
      </c>
      <c r="C64" s="106" t="s">
        <v>251</v>
      </c>
      <c r="D64" s="95" t="s">
        <v>252</v>
      </c>
      <c r="E64" s="110">
        <v>46077</v>
      </c>
      <c r="F64" s="111">
        <v>46081</v>
      </c>
      <c r="G64" s="118" t="s">
        <v>241</v>
      </c>
      <c r="H64" s="118" t="s">
        <v>241</v>
      </c>
      <c r="I64" s="131"/>
      <c r="J64" s="131"/>
      <c r="K64" s="130"/>
    </row>
    <row r="65" spans="1:11" ht="14.25" x14ac:dyDescent="0.2">
      <c r="A65" s="105" t="s">
        <v>25</v>
      </c>
      <c r="B65" s="106" t="s">
        <v>13</v>
      </c>
      <c r="C65" s="106" t="s">
        <v>253</v>
      </c>
      <c r="D65" s="95" t="s">
        <v>117</v>
      </c>
      <c r="E65" s="120">
        <v>46107</v>
      </c>
      <c r="F65" s="118">
        <v>46109</v>
      </c>
      <c r="G65" s="133">
        <v>46109</v>
      </c>
      <c r="H65" s="82" t="s">
        <v>16</v>
      </c>
      <c r="I65" s="127" t="s">
        <v>146</v>
      </c>
      <c r="J65" s="127" t="s">
        <v>147</v>
      </c>
      <c r="K65" s="132" t="s">
        <v>254</v>
      </c>
    </row>
    <row r="66" spans="1:11" ht="14.25" x14ac:dyDescent="0.2">
      <c r="A66" s="105" t="s">
        <v>43</v>
      </c>
      <c r="B66" s="106" t="s">
        <v>20</v>
      </c>
      <c r="C66" s="106" t="s">
        <v>800</v>
      </c>
      <c r="D66" s="95" t="s">
        <v>141</v>
      </c>
      <c r="E66" s="120">
        <v>46112</v>
      </c>
      <c r="F66" s="118">
        <v>46116</v>
      </c>
      <c r="G66" s="133">
        <v>46113</v>
      </c>
      <c r="H66" s="82" t="s">
        <v>16</v>
      </c>
      <c r="I66" s="127" t="s">
        <v>255</v>
      </c>
      <c r="J66" s="127" t="s">
        <v>74</v>
      </c>
      <c r="K66" s="130" t="s">
        <v>81</v>
      </c>
    </row>
    <row r="67" spans="1:11" ht="14.25" hidden="1" x14ac:dyDescent="0.2">
      <c r="A67" s="105" t="s">
        <v>12</v>
      </c>
      <c r="B67" s="106" t="s">
        <v>20</v>
      </c>
      <c r="C67" s="106" t="s">
        <v>256</v>
      </c>
      <c r="D67" s="95" t="s">
        <v>252</v>
      </c>
      <c r="E67" s="110">
        <v>45832</v>
      </c>
      <c r="F67" s="111">
        <v>45836</v>
      </c>
      <c r="G67" s="127"/>
      <c r="H67" s="126" t="s">
        <v>241</v>
      </c>
      <c r="I67" s="131"/>
      <c r="J67" s="131"/>
      <c r="K67" s="130"/>
    </row>
    <row r="68" spans="1:11" ht="15.75" hidden="1" customHeight="1" x14ac:dyDescent="0.2">
      <c r="A68" s="105" t="s">
        <v>394</v>
      </c>
      <c r="B68" s="109" t="s">
        <v>13</v>
      </c>
      <c r="C68" s="106" t="s">
        <v>776</v>
      </c>
      <c r="D68" s="95" t="s">
        <v>257</v>
      </c>
      <c r="E68" s="110">
        <v>45859</v>
      </c>
      <c r="F68" s="111">
        <v>45862</v>
      </c>
      <c r="G68" s="127"/>
      <c r="H68" s="126" t="s">
        <v>241</v>
      </c>
      <c r="I68" s="127"/>
      <c r="J68" s="127"/>
      <c r="K68" s="130"/>
    </row>
    <row r="69" spans="1:11" ht="14.25" hidden="1" x14ac:dyDescent="0.2">
      <c r="A69" s="105" t="s">
        <v>43</v>
      </c>
      <c r="B69" s="106" t="s">
        <v>20</v>
      </c>
      <c r="C69" s="106" t="s">
        <v>258</v>
      </c>
      <c r="D69" s="95" t="s">
        <v>259</v>
      </c>
      <c r="E69" s="110">
        <v>45877</v>
      </c>
      <c r="F69" s="111">
        <v>45879</v>
      </c>
      <c r="G69" s="127"/>
      <c r="H69" s="126" t="s">
        <v>241</v>
      </c>
      <c r="I69" s="127"/>
      <c r="J69" s="127"/>
      <c r="K69" s="130"/>
    </row>
    <row r="70" spans="1:11" ht="14.25" hidden="1" x14ac:dyDescent="0.2">
      <c r="A70" s="105" t="s">
        <v>12</v>
      </c>
      <c r="B70" s="106" t="s">
        <v>13</v>
      </c>
      <c r="C70" s="106" t="s">
        <v>260</v>
      </c>
      <c r="D70" s="95" t="s">
        <v>178</v>
      </c>
      <c r="E70" s="110">
        <v>45889</v>
      </c>
      <c r="F70" s="111">
        <v>45892</v>
      </c>
      <c r="G70" s="127"/>
      <c r="H70" s="126" t="s">
        <v>241</v>
      </c>
      <c r="I70" s="131"/>
      <c r="J70" s="131"/>
      <c r="K70" s="130"/>
    </row>
    <row r="71" spans="1:11" ht="14.25" hidden="1" x14ac:dyDescent="0.2">
      <c r="A71" s="105" t="s">
        <v>394</v>
      </c>
      <c r="B71" s="106" t="s">
        <v>20</v>
      </c>
      <c r="C71" s="106" t="s">
        <v>261</v>
      </c>
      <c r="D71" s="95" t="s">
        <v>262</v>
      </c>
      <c r="E71" s="112">
        <v>45951</v>
      </c>
      <c r="F71" s="113">
        <v>45955</v>
      </c>
      <c r="G71" s="127"/>
      <c r="H71" s="126" t="s">
        <v>241</v>
      </c>
      <c r="I71" s="127"/>
      <c r="J71" s="127"/>
      <c r="K71" s="130"/>
    </row>
    <row r="72" spans="1:11" ht="14.25" hidden="1" x14ac:dyDescent="0.2">
      <c r="A72" s="105" t="s">
        <v>25</v>
      </c>
      <c r="B72" s="106" t="s">
        <v>20</v>
      </c>
      <c r="C72" s="106" t="s">
        <v>817</v>
      </c>
      <c r="D72" s="95" t="s">
        <v>263</v>
      </c>
      <c r="E72" s="112">
        <v>45958</v>
      </c>
      <c r="F72" s="113">
        <v>45962</v>
      </c>
      <c r="G72" s="127"/>
      <c r="H72" s="126" t="s">
        <v>241</v>
      </c>
      <c r="I72" s="127"/>
      <c r="J72" s="127"/>
      <c r="K72" s="130"/>
    </row>
    <row r="73" spans="1:11" ht="14.25" hidden="1" x14ac:dyDescent="0.2">
      <c r="A73" s="105" t="s">
        <v>394</v>
      </c>
      <c r="B73" s="106" t="s">
        <v>13</v>
      </c>
      <c r="C73" s="106" t="s">
        <v>264</v>
      </c>
      <c r="D73" s="95" t="s">
        <v>265</v>
      </c>
      <c r="E73" s="110">
        <v>45967</v>
      </c>
      <c r="F73" s="111">
        <v>45969</v>
      </c>
      <c r="G73" s="127"/>
      <c r="H73" s="126" t="s">
        <v>241</v>
      </c>
      <c r="I73" s="127"/>
      <c r="J73" s="127"/>
      <c r="K73" s="130"/>
    </row>
    <row r="74" spans="1:11" ht="14.25" hidden="1" x14ac:dyDescent="0.2">
      <c r="A74" s="105" t="s">
        <v>43</v>
      </c>
      <c r="B74" s="106" t="s">
        <v>13</v>
      </c>
      <c r="C74" s="106" t="s">
        <v>830</v>
      </c>
      <c r="D74" s="95" t="s">
        <v>15</v>
      </c>
      <c r="E74" s="114">
        <v>45972</v>
      </c>
      <c r="F74" s="115">
        <v>45976</v>
      </c>
      <c r="G74" s="127"/>
      <c r="H74" s="126" t="s">
        <v>241</v>
      </c>
      <c r="I74" s="127" t="s">
        <v>266</v>
      </c>
      <c r="J74" s="127" t="s">
        <v>267</v>
      </c>
      <c r="K74" s="130" t="s">
        <v>268</v>
      </c>
    </row>
    <row r="75" spans="1:11" ht="14.25" hidden="1" x14ac:dyDescent="0.2">
      <c r="A75" s="105" t="s">
        <v>394</v>
      </c>
      <c r="B75" s="106" t="s">
        <v>20</v>
      </c>
      <c r="C75" s="106" t="s">
        <v>269</v>
      </c>
      <c r="D75" s="95" t="s">
        <v>270</v>
      </c>
      <c r="E75" s="112">
        <v>45972</v>
      </c>
      <c r="F75" s="113">
        <v>45976</v>
      </c>
      <c r="G75" s="127"/>
      <c r="H75" s="126" t="s">
        <v>241</v>
      </c>
      <c r="I75" s="127"/>
      <c r="J75" s="127"/>
      <c r="K75" s="130"/>
    </row>
    <row r="76" spans="1:11" ht="14.25" hidden="1" x14ac:dyDescent="0.2">
      <c r="A76" s="105" t="s">
        <v>52</v>
      </c>
      <c r="B76" s="106" t="s">
        <v>20</v>
      </c>
      <c r="C76" s="106" t="s">
        <v>828</v>
      </c>
      <c r="D76" s="95" t="s">
        <v>27</v>
      </c>
      <c r="E76" s="114">
        <v>45976</v>
      </c>
      <c r="F76" s="115">
        <v>45983</v>
      </c>
      <c r="G76" s="127"/>
      <c r="H76" s="126" t="s">
        <v>241</v>
      </c>
      <c r="I76" s="127" t="s">
        <v>272</v>
      </c>
      <c r="J76" s="127" t="s">
        <v>194</v>
      </c>
      <c r="K76" s="130" t="s">
        <v>273</v>
      </c>
    </row>
    <row r="77" spans="1:11" ht="14.25" hidden="1" x14ac:dyDescent="0.2">
      <c r="A77" s="116" t="s">
        <v>394</v>
      </c>
      <c r="B77" s="117" t="s">
        <v>274</v>
      </c>
      <c r="C77" s="106" t="s">
        <v>275</v>
      </c>
      <c r="D77" s="95" t="s">
        <v>78</v>
      </c>
      <c r="E77" s="120">
        <v>46072</v>
      </c>
      <c r="F77" s="120">
        <v>46075</v>
      </c>
      <c r="G77" s="106"/>
      <c r="H77" s="106" t="s">
        <v>241</v>
      </c>
      <c r="I77" s="127"/>
      <c r="J77" s="127"/>
      <c r="K77" s="132"/>
    </row>
    <row r="78" spans="1:11" ht="14.25" hidden="1" x14ac:dyDescent="0.2">
      <c r="A78" s="116" t="s">
        <v>12</v>
      </c>
      <c r="B78" s="106" t="s">
        <v>13</v>
      </c>
      <c r="C78" s="106" t="s">
        <v>276</v>
      </c>
      <c r="D78" s="95" t="s">
        <v>178</v>
      </c>
      <c r="E78" s="120">
        <v>46079</v>
      </c>
      <c r="F78" s="118">
        <v>46081</v>
      </c>
      <c r="G78" s="106"/>
      <c r="H78" s="106" t="s">
        <v>241</v>
      </c>
      <c r="I78" s="127"/>
      <c r="J78" s="127"/>
      <c r="K78" s="130"/>
    </row>
    <row r="79" spans="1:11" ht="14.25" x14ac:dyDescent="0.2">
      <c r="A79" s="105" t="s">
        <v>399</v>
      </c>
      <c r="B79" s="106" t="s">
        <v>20</v>
      </c>
      <c r="C79" s="106" t="s">
        <v>277</v>
      </c>
      <c r="D79" s="95" t="s">
        <v>233</v>
      </c>
      <c r="E79" s="120">
        <v>46111</v>
      </c>
      <c r="F79" s="118">
        <v>46116</v>
      </c>
      <c r="G79" s="133">
        <v>46114</v>
      </c>
      <c r="H79" s="82" t="s">
        <v>16</v>
      </c>
      <c r="I79" s="131" t="s">
        <v>278</v>
      </c>
      <c r="J79" s="131" t="s">
        <v>37</v>
      </c>
      <c r="K79" s="132" t="s">
        <v>278</v>
      </c>
    </row>
    <row r="80" spans="1:11" ht="15.75" x14ac:dyDescent="0.25">
      <c r="A80" s="158" t="s">
        <v>394</v>
      </c>
      <c r="B80" s="69" t="s">
        <v>13</v>
      </c>
      <c r="C80" s="69" t="s">
        <v>279</v>
      </c>
      <c r="D80" s="72" t="s">
        <v>178</v>
      </c>
      <c r="E80" s="110">
        <v>46114</v>
      </c>
      <c r="F80" s="111">
        <v>46116</v>
      </c>
      <c r="G80" s="133">
        <v>46116</v>
      </c>
      <c r="H80" s="82" t="s">
        <v>16</v>
      </c>
      <c r="I80" s="127" t="s">
        <v>280</v>
      </c>
      <c r="J80" s="127" t="s">
        <v>281</v>
      </c>
      <c r="K80" s="132" t="s">
        <v>282</v>
      </c>
    </row>
    <row r="81" spans="1:11" ht="14.25" customHeight="1" x14ac:dyDescent="0.2">
      <c r="A81" s="105" t="s">
        <v>394</v>
      </c>
      <c r="B81" s="106" t="s">
        <v>20</v>
      </c>
      <c r="C81" s="106" t="s">
        <v>283</v>
      </c>
      <c r="D81" s="95" t="s">
        <v>63</v>
      </c>
      <c r="E81" s="110">
        <v>46113</v>
      </c>
      <c r="F81" s="111">
        <v>46116</v>
      </c>
      <c r="G81" s="133">
        <v>46116</v>
      </c>
      <c r="H81" s="82" t="s">
        <v>16</v>
      </c>
      <c r="I81" s="131" t="s">
        <v>284</v>
      </c>
      <c r="J81" s="131" t="s">
        <v>158</v>
      </c>
      <c r="K81" s="130" t="s">
        <v>159</v>
      </c>
    </row>
    <row r="82" spans="1:11" ht="14.25" x14ac:dyDescent="0.2">
      <c r="A82" s="105" t="s">
        <v>25</v>
      </c>
      <c r="B82" s="106" t="s">
        <v>20</v>
      </c>
      <c r="C82" s="106" t="s">
        <v>826</v>
      </c>
      <c r="D82" s="95" t="s">
        <v>286</v>
      </c>
      <c r="E82" s="120">
        <v>46113</v>
      </c>
      <c r="F82" s="118">
        <v>46117</v>
      </c>
      <c r="G82" s="133">
        <v>46117</v>
      </c>
      <c r="H82" s="127" t="s">
        <v>287</v>
      </c>
      <c r="I82" s="127" t="s">
        <v>113</v>
      </c>
      <c r="J82" s="127" t="s">
        <v>288</v>
      </c>
      <c r="K82" s="130" t="s">
        <v>289</v>
      </c>
    </row>
    <row r="83" spans="1:11" ht="14.25" x14ac:dyDescent="0.2">
      <c r="A83" s="105" t="s">
        <v>25</v>
      </c>
      <c r="B83" s="106" t="s">
        <v>20</v>
      </c>
      <c r="C83" s="106" t="s">
        <v>290</v>
      </c>
      <c r="D83" s="95" t="s">
        <v>291</v>
      </c>
      <c r="E83" s="110">
        <v>46117</v>
      </c>
      <c r="F83" s="111">
        <v>46123</v>
      </c>
      <c r="G83" s="133">
        <v>46118</v>
      </c>
      <c r="H83" s="127" t="s">
        <v>287</v>
      </c>
      <c r="I83" s="127"/>
      <c r="J83" s="127"/>
      <c r="K83" s="130"/>
    </row>
    <row r="84" spans="1:11" ht="14.25" x14ac:dyDescent="0.2">
      <c r="A84" s="105" t="s">
        <v>52</v>
      </c>
      <c r="B84" s="106" t="s">
        <v>20</v>
      </c>
      <c r="C84" s="106" t="s">
        <v>835</v>
      </c>
      <c r="D84" s="95" t="s">
        <v>82</v>
      </c>
      <c r="E84" s="120">
        <v>46119</v>
      </c>
      <c r="F84" s="118">
        <v>46123</v>
      </c>
      <c r="G84" s="133">
        <v>46119</v>
      </c>
      <c r="H84" s="127" t="s">
        <v>287</v>
      </c>
      <c r="I84" s="131"/>
      <c r="J84" s="131"/>
      <c r="K84" s="132"/>
    </row>
    <row r="85" spans="1:11" ht="14.25" hidden="1" x14ac:dyDescent="0.2">
      <c r="A85" s="105" t="s">
        <v>394</v>
      </c>
      <c r="B85" s="106" t="s">
        <v>13</v>
      </c>
      <c r="C85" s="106" t="s">
        <v>844</v>
      </c>
      <c r="D85" s="95" t="s">
        <v>22</v>
      </c>
      <c r="E85" s="134">
        <v>46114</v>
      </c>
      <c r="F85" s="135">
        <v>46116</v>
      </c>
      <c r="G85" s="127"/>
      <c r="H85" s="127" t="s">
        <v>241</v>
      </c>
      <c r="I85" s="127"/>
      <c r="J85" s="127"/>
      <c r="K85" s="130"/>
    </row>
    <row r="86" spans="1:11" ht="14.25" x14ac:dyDescent="0.2">
      <c r="A86" s="105" t="s">
        <v>52</v>
      </c>
      <c r="B86" s="106" t="s">
        <v>13</v>
      </c>
      <c r="C86" s="106" t="s">
        <v>821</v>
      </c>
      <c r="D86" s="95" t="s">
        <v>120</v>
      </c>
      <c r="E86" s="120">
        <v>46118</v>
      </c>
      <c r="F86" s="118">
        <v>46123</v>
      </c>
      <c r="G86" s="133">
        <v>46119</v>
      </c>
      <c r="H86" s="127" t="s">
        <v>287</v>
      </c>
      <c r="I86" s="127" t="s">
        <v>55</v>
      </c>
      <c r="J86" s="127" t="s">
        <v>50</v>
      </c>
      <c r="K86" s="130" t="s">
        <v>57</v>
      </c>
    </row>
    <row r="87" spans="1:11" ht="14.25" x14ac:dyDescent="0.2">
      <c r="A87" s="105" t="s">
        <v>52</v>
      </c>
      <c r="B87" s="106" t="s">
        <v>20</v>
      </c>
      <c r="C87" s="106" t="s">
        <v>292</v>
      </c>
      <c r="D87" s="95" t="s">
        <v>293</v>
      </c>
      <c r="E87" s="110">
        <v>46118</v>
      </c>
      <c r="F87" s="111">
        <v>46123</v>
      </c>
      <c r="G87" s="133">
        <v>46120</v>
      </c>
      <c r="H87" s="127" t="s">
        <v>287</v>
      </c>
      <c r="I87" s="127" t="s">
        <v>294</v>
      </c>
      <c r="J87" s="127" t="s">
        <v>294</v>
      </c>
      <c r="K87" s="130" t="s">
        <v>273</v>
      </c>
    </row>
    <row r="88" spans="1:11" ht="14.25" x14ac:dyDescent="0.2">
      <c r="A88" s="105" t="s">
        <v>43</v>
      </c>
      <c r="B88" s="106" t="s">
        <v>20</v>
      </c>
      <c r="C88" s="106" t="s">
        <v>810</v>
      </c>
      <c r="D88" s="95" t="s">
        <v>35</v>
      </c>
      <c r="E88" s="110">
        <v>46119</v>
      </c>
      <c r="F88" s="111">
        <v>46123</v>
      </c>
      <c r="G88" s="133">
        <v>46121</v>
      </c>
      <c r="H88" s="127"/>
      <c r="I88" s="127" t="s">
        <v>173</v>
      </c>
      <c r="J88" s="127" t="s">
        <v>194</v>
      </c>
      <c r="K88" s="132" t="s">
        <v>295</v>
      </c>
    </row>
    <row r="89" spans="1:11" ht="14.25" x14ac:dyDescent="0.2">
      <c r="A89" s="106" t="s">
        <v>399</v>
      </c>
      <c r="B89" s="151" t="s">
        <v>13</v>
      </c>
      <c r="C89" s="106" t="s">
        <v>296</v>
      </c>
      <c r="D89" s="95" t="s">
        <v>117</v>
      </c>
      <c r="E89" s="120">
        <v>46120</v>
      </c>
      <c r="F89" s="118">
        <v>46123</v>
      </c>
      <c r="G89" s="133">
        <v>46121</v>
      </c>
      <c r="H89" s="153"/>
      <c r="I89" s="127" t="s">
        <v>297</v>
      </c>
      <c r="J89" s="127" t="s">
        <v>298</v>
      </c>
      <c r="K89" s="130" t="s">
        <v>299</v>
      </c>
    </row>
    <row r="90" spans="1:11" ht="14.25" x14ac:dyDescent="0.2">
      <c r="A90" s="105" t="s">
        <v>43</v>
      </c>
      <c r="B90" s="106" t="s">
        <v>13</v>
      </c>
      <c r="C90" s="106" t="s">
        <v>802</v>
      </c>
      <c r="D90" s="95" t="s">
        <v>301</v>
      </c>
      <c r="E90" s="120">
        <v>46119</v>
      </c>
      <c r="F90" s="118">
        <v>46123</v>
      </c>
      <c r="G90" s="133">
        <v>46122</v>
      </c>
      <c r="H90" s="127"/>
      <c r="I90" s="127" t="s">
        <v>302</v>
      </c>
      <c r="J90" s="127" t="s">
        <v>88</v>
      </c>
      <c r="K90" s="130" t="s">
        <v>303</v>
      </c>
    </row>
    <row r="91" spans="1:11" ht="14.25" x14ac:dyDescent="0.2">
      <c r="A91" s="105" t="s">
        <v>399</v>
      </c>
      <c r="B91" s="106" t="s">
        <v>20</v>
      </c>
      <c r="C91" s="106" t="s">
        <v>304</v>
      </c>
      <c r="D91" s="95" t="s">
        <v>305</v>
      </c>
      <c r="E91" s="120">
        <v>46120</v>
      </c>
      <c r="F91" s="118">
        <v>46123</v>
      </c>
      <c r="G91" s="133">
        <v>46122</v>
      </c>
      <c r="H91" s="127"/>
      <c r="I91" s="127"/>
      <c r="J91" s="127" t="s">
        <v>96</v>
      </c>
      <c r="K91" s="130"/>
    </row>
    <row r="92" spans="1:11" ht="14.25" x14ac:dyDescent="0.2">
      <c r="A92" s="105" t="s">
        <v>399</v>
      </c>
      <c r="B92" s="106" t="s">
        <v>13</v>
      </c>
      <c r="C92" s="106" t="s">
        <v>787</v>
      </c>
      <c r="D92" s="95" t="s">
        <v>263</v>
      </c>
      <c r="E92" s="110">
        <v>46119</v>
      </c>
      <c r="F92" s="111">
        <v>46123</v>
      </c>
      <c r="G92" s="133">
        <v>46123</v>
      </c>
      <c r="H92" s="126"/>
      <c r="I92" s="131" t="s">
        <v>60</v>
      </c>
      <c r="J92" s="131" t="s">
        <v>37</v>
      </c>
      <c r="K92" s="130" t="s">
        <v>307</v>
      </c>
    </row>
    <row r="93" spans="1:11" ht="14.25" x14ac:dyDescent="0.2">
      <c r="A93" s="105" t="s">
        <v>12</v>
      </c>
      <c r="B93" s="106" t="s">
        <v>20</v>
      </c>
      <c r="C93" s="106" t="s">
        <v>30</v>
      </c>
      <c r="D93" s="157" t="s">
        <v>308</v>
      </c>
      <c r="E93" s="112">
        <v>46126</v>
      </c>
      <c r="F93" s="113">
        <v>46130</v>
      </c>
      <c r="G93" s="133">
        <v>46126</v>
      </c>
      <c r="H93" s="153"/>
      <c r="I93" s="127"/>
      <c r="J93" s="127"/>
      <c r="K93" s="130"/>
    </row>
    <row r="94" spans="1:11" ht="14.25" x14ac:dyDescent="0.2">
      <c r="A94" s="105" t="s">
        <v>25</v>
      </c>
      <c r="B94" s="106" t="s">
        <v>20</v>
      </c>
      <c r="C94" s="106" t="s">
        <v>309</v>
      </c>
      <c r="D94" s="95" t="s">
        <v>310</v>
      </c>
      <c r="E94" s="120">
        <v>46126</v>
      </c>
      <c r="F94" s="118">
        <v>46130</v>
      </c>
      <c r="G94" s="133">
        <v>46127</v>
      </c>
      <c r="H94" s="127"/>
      <c r="I94" s="127"/>
      <c r="J94" s="127"/>
      <c r="K94" s="130"/>
    </row>
    <row r="95" spans="1:11" ht="14.25" x14ac:dyDescent="0.2">
      <c r="A95" s="105" t="s">
        <v>43</v>
      </c>
      <c r="B95" s="106" t="s">
        <v>13</v>
      </c>
      <c r="C95" s="106" t="s">
        <v>311</v>
      </c>
      <c r="D95" s="95" t="s">
        <v>207</v>
      </c>
      <c r="E95" s="120">
        <v>46126</v>
      </c>
      <c r="F95" s="118">
        <v>46130</v>
      </c>
      <c r="G95" s="133">
        <v>46128</v>
      </c>
      <c r="H95" s="153"/>
      <c r="I95" s="127" t="s">
        <v>255</v>
      </c>
      <c r="J95" s="127"/>
      <c r="K95" s="130" t="s">
        <v>312</v>
      </c>
    </row>
    <row r="96" spans="1:11" ht="14.25" x14ac:dyDescent="0.2">
      <c r="A96" s="105" t="s">
        <v>43</v>
      </c>
      <c r="B96" s="106" t="s">
        <v>20</v>
      </c>
      <c r="C96" s="106" t="s">
        <v>819</v>
      </c>
      <c r="D96" s="95" t="s">
        <v>136</v>
      </c>
      <c r="E96" s="120">
        <v>46126</v>
      </c>
      <c r="F96" s="118">
        <v>46130</v>
      </c>
      <c r="G96" s="133">
        <v>46129</v>
      </c>
      <c r="H96" s="127"/>
      <c r="I96" s="127"/>
      <c r="J96" s="127"/>
      <c r="K96" s="132"/>
    </row>
    <row r="97" spans="1:12" ht="14.25" x14ac:dyDescent="0.2">
      <c r="A97" s="105" t="s">
        <v>394</v>
      </c>
      <c r="B97" s="106" t="s">
        <v>20</v>
      </c>
      <c r="C97" s="106" t="s">
        <v>269</v>
      </c>
      <c r="D97" s="95" t="s">
        <v>314</v>
      </c>
      <c r="E97" s="112">
        <v>46126</v>
      </c>
      <c r="F97" s="135">
        <v>46130</v>
      </c>
      <c r="G97" s="133">
        <v>46129</v>
      </c>
      <c r="H97" s="153"/>
      <c r="I97" s="127"/>
      <c r="J97" s="127"/>
      <c r="K97" s="130"/>
    </row>
    <row r="98" spans="1:12" ht="14.25" x14ac:dyDescent="0.2">
      <c r="A98" s="105" t="s">
        <v>43</v>
      </c>
      <c r="B98" s="106" t="s">
        <v>13</v>
      </c>
      <c r="C98" s="106" t="s">
        <v>837</v>
      </c>
      <c r="D98" s="95" t="s">
        <v>117</v>
      </c>
      <c r="E98" s="120">
        <v>46127</v>
      </c>
      <c r="F98" s="118">
        <v>46131</v>
      </c>
      <c r="G98" s="133">
        <v>46131</v>
      </c>
      <c r="H98" s="127"/>
      <c r="I98" s="127"/>
      <c r="J98" s="127"/>
      <c r="K98" s="132"/>
    </row>
    <row r="99" spans="1:12" ht="14.25" x14ac:dyDescent="0.2">
      <c r="A99" s="106" t="s">
        <v>12</v>
      </c>
      <c r="B99" s="106" t="s">
        <v>20</v>
      </c>
      <c r="C99" s="106" t="s">
        <v>824</v>
      </c>
      <c r="D99" s="95" t="s">
        <v>315</v>
      </c>
      <c r="E99" s="112">
        <v>46133</v>
      </c>
      <c r="F99" s="112">
        <v>46137</v>
      </c>
      <c r="G99" s="133">
        <v>46133</v>
      </c>
      <c r="H99" s="127"/>
      <c r="I99" s="127" t="s">
        <v>79</v>
      </c>
      <c r="J99" s="127"/>
      <c r="K99" s="127"/>
      <c r="L99" s="34"/>
    </row>
    <row r="100" spans="1:12" ht="14.25" x14ac:dyDescent="0.2">
      <c r="A100" s="105" t="s">
        <v>43</v>
      </c>
      <c r="B100" s="106" t="s">
        <v>20</v>
      </c>
      <c r="C100" s="106" t="s">
        <v>834</v>
      </c>
      <c r="D100" s="95" t="s">
        <v>95</v>
      </c>
      <c r="E100" s="120">
        <v>46133</v>
      </c>
      <c r="F100" s="118">
        <v>46138</v>
      </c>
      <c r="G100" s="133">
        <v>46133</v>
      </c>
      <c r="H100" s="127"/>
      <c r="I100" s="127"/>
      <c r="J100" s="127"/>
      <c r="K100" s="130"/>
    </row>
    <row r="101" spans="1:12" ht="14.25" x14ac:dyDescent="0.2">
      <c r="A101" s="105" t="s">
        <v>394</v>
      </c>
      <c r="B101" s="106" t="s">
        <v>20</v>
      </c>
      <c r="C101" s="106" t="s">
        <v>833</v>
      </c>
      <c r="D101" s="95" t="s">
        <v>263</v>
      </c>
      <c r="E101" s="110">
        <v>46139</v>
      </c>
      <c r="F101" s="111">
        <v>46144</v>
      </c>
      <c r="G101" s="133">
        <v>46133</v>
      </c>
      <c r="H101" s="127"/>
      <c r="I101" s="127"/>
      <c r="J101" s="127"/>
      <c r="K101" s="130"/>
    </row>
    <row r="102" spans="1:12" ht="14.25" x14ac:dyDescent="0.2">
      <c r="A102" s="105" t="s">
        <v>43</v>
      </c>
      <c r="B102" s="106" t="s">
        <v>13</v>
      </c>
      <c r="C102" s="106" t="s">
        <v>316</v>
      </c>
      <c r="D102" s="95" t="s">
        <v>95</v>
      </c>
      <c r="E102" s="120">
        <v>46133</v>
      </c>
      <c r="F102" s="118">
        <v>46137</v>
      </c>
      <c r="G102" s="133">
        <v>46134</v>
      </c>
      <c r="H102" s="127"/>
      <c r="I102" s="127"/>
      <c r="J102" s="127"/>
      <c r="K102" s="132"/>
    </row>
    <row r="103" spans="1:12" ht="14.25" x14ac:dyDescent="0.2">
      <c r="A103" s="105" t="s">
        <v>43</v>
      </c>
      <c r="B103" s="106" t="s">
        <v>20</v>
      </c>
      <c r="C103" s="106" t="s">
        <v>812</v>
      </c>
      <c r="D103" s="95" t="s">
        <v>318</v>
      </c>
      <c r="E103" s="120">
        <v>46133</v>
      </c>
      <c r="F103" s="118">
        <v>46137</v>
      </c>
      <c r="G103" s="133">
        <v>46134</v>
      </c>
      <c r="H103" s="127"/>
      <c r="I103" s="127" t="s">
        <v>319</v>
      </c>
      <c r="J103" s="127" t="s">
        <v>80</v>
      </c>
      <c r="K103" s="130" t="s">
        <v>320</v>
      </c>
    </row>
    <row r="104" spans="1:12" ht="14.25" x14ac:dyDescent="0.2">
      <c r="A104" s="106" t="s">
        <v>12</v>
      </c>
      <c r="B104" s="151" t="s">
        <v>13</v>
      </c>
      <c r="C104" s="106" t="s">
        <v>815</v>
      </c>
      <c r="D104" s="95" t="s">
        <v>54</v>
      </c>
      <c r="E104" s="120">
        <v>46134</v>
      </c>
      <c r="F104" s="118">
        <v>46138</v>
      </c>
      <c r="G104" s="133">
        <v>46136</v>
      </c>
      <c r="H104" s="153"/>
      <c r="I104" s="127"/>
      <c r="J104" s="127"/>
      <c r="K104" s="130"/>
    </row>
    <row r="105" spans="1:12" ht="14.25" x14ac:dyDescent="0.2">
      <c r="A105" s="150" t="s">
        <v>12</v>
      </c>
      <c r="B105" s="151" t="s">
        <v>13</v>
      </c>
      <c r="C105" s="151" t="s">
        <v>321</v>
      </c>
      <c r="D105" s="95" t="s">
        <v>117</v>
      </c>
      <c r="E105" s="154">
        <v>46133</v>
      </c>
      <c r="F105" s="154">
        <v>46137</v>
      </c>
      <c r="G105" s="133">
        <v>46137</v>
      </c>
      <c r="H105" s="153"/>
      <c r="I105" s="153"/>
      <c r="J105" s="153"/>
      <c r="K105" s="159"/>
    </row>
    <row r="106" spans="1:12" ht="14.25" x14ac:dyDescent="0.2">
      <c r="A106" s="150" t="s">
        <v>394</v>
      </c>
      <c r="B106" s="151" t="s">
        <v>13</v>
      </c>
      <c r="C106" s="151" t="s">
        <v>322</v>
      </c>
      <c r="D106" s="95" t="s">
        <v>120</v>
      </c>
      <c r="E106" s="154">
        <v>46139</v>
      </c>
      <c r="F106" s="154">
        <v>46144</v>
      </c>
      <c r="G106" s="133">
        <v>46140</v>
      </c>
      <c r="H106" s="153"/>
      <c r="I106" s="153"/>
      <c r="J106" s="153"/>
      <c r="K106" s="155"/>
    </row>
    <row r="107" spans="1:12" ht="14.25" hidden="1" x14ac:dyDescent="0.2">
      <c r="A107" s="150" t="s">
        <v>12</v>
      </c>
      <c r="B107" s="151" t="s">
        <v>20</v>
      </c>
      <c r="C107" s="151" t="s">
        <v>813</v>
      </c>
      <c r="D107" s="123" t="s">
        <v>324</v>
      </c>
      <c r="E107" s="156">
        <v>45986</v>
      </c>
      <c r="F107" s="156">
        <v>45990</v>
      </c>
      <c r="G107" s="133" t="s">
        <v>241</v>
      </c>
      <c r="H107" s="160" t="s">
        <v>241</v>
      </c>
      <c r="I107" s="153"/>
      <c r="J107" s="153"/>
      <c r="K107" s="155"/>
    </row>
    <row r="108" spans="1:12" ht="15" hidden="1" x14ac:dyDescent="0.25">
      <c r="A108" s="150" t="s">
        <v>12</v>
      </c>
      <c r="B108" s="151" t="s">
        <v>13</v>
      </c>
      <c r="C108" s="151" t="s">
        <v>321</v>
      </c>
      <c r="D108" s="95" t="s">
        <v>325</v>
      </c>
      <c r="E108" s="152">
        <v>45994</v>
      </c>
      <c r="F108" s="152">
        <v>45997</v>
      </c>
      <c r="G108" s="133" t="s">
        <v>241</v>
      </c>
      <c r="H108" s="160" t="s">
        <v>241</v>
      </c>
      <c r="I108" s="161"/>
      <c r="J108" s="161"/>
      <c r="K108" s="155"/>
    </row>
    <row r="109" spans="1:12" ht="14.25" hidden="1" x14ac:dyDescent="0.2">
      <c r="A109" s="150" t="s">
        <v>25</v>
      </c>
      <c r="B109" s="151" t="s">
        <v>13</v>
      </c>
      <c r="C109" s="151" t="s">
        <v>326</v>
      </c>
      <c r="D109" s="95" t="s">
        <v>249</v>
      </c>
      <c r="E109" s="156">
        <v>46070</v>
      </c>
      <c r="F109" s="156">
        <v>46074</v>
      </c>
      <c r="G109" s="133" t="s">
        <v>241</v>
      </c>
      <c r="H109" s="160" t="s">
        <v>241</v>
      </c>
      <c r="I109" s="153" t="s">
        <v>327</v>
      </c>
      <c r="J109" s="153" t="s">
        <v>328</v>
      </c>
      <c r="K109" s="155" t="s">
        <v>329</v>
      </c>
    </row>
    <row r="110" spans="1:12" ht="14.25" hidden="1" x14ac:dyDescent="0.2">
      <c r="A110" s="150" t="s">
        <v>43</v>
      </c>
      <c r="B110" s="151" t="s">
        <v>20</v>
      </c>
      <c r="C110" s="151" t="s">
        <v>807</v>
      </c>
      <c r="D110" s="95" t="s">
        <v>72</v>
      </c>
      <c r="E110" s="154">
        <v>46105</v>
      </c>
      <c r="F110" s="154">
        <v>46109</v>
      </c>
      <c r="G110" s="127" t="s">
        <v>241</v>
      </c>
      <c r="H110" s="153" t="s">
        <v>241</v>
      </c>
      <c r="I110" s="153"/>
      <c r="J110" s="153"/>
      <c r="K110" s="155"/>
    </row>
    <row r="111" spans="1:12" ht="14.25" x14ac:dyDescent="0.2">
      <c r="A111" s="150" t="s">
        <v>25</v>
      </c>
      <c r="B111" s="151" t="s">
        <v>13</v>
      </c>
      <c r="C111" s="151" t="s">
        <v>832</v>
      </c>
      <c r="D111" s="123" t="s">
        <v>331</v>
      </c>
      <c r="E111" s="154">
        <v>46141</v>
      </c>
      <c r="F111" s="154">
        <v>46144</v>
      </c>
      <c r="G111" s="133">
        <v>46141</v>
      </c>
      <c r="H111" s="153"/>
      <c r="I111" s="153" t="s">
        <v>250</v>
      </c>
      <c r="J111" s="153" t="s">
        <v>332</v>
      </c>
      <c r="K111" s="155" t="s">
        <v>250</v>
      </c>
    </row>
    <row r="112" spans="1:12" ht="14.25" x14ac:dyDescent="0.2">
      <c r="A112" s="150" t="s">
        <v>43</v>
      </c>
      <c r="B112" s="151" t="s">
        <v>13</v>
      </c>
      <c r="C112" s="151" t="s">
        <v>333</v>
      </c>
      <c r="D112" s="123" t="s">
        <v>91</v>
      </c>
      <c r="E112" s="154">
        <v>46141</v>
      </c>
      <c r="F112" s="154">
        <v>46145</v>
      </c>
      <c r="G112" s="133">
        <v>46143</v>
      </c>
      <c r="H112" s="153"/>
      <c r="I112" s="153" t="s">
        <v>59</v>
      </c>
      <c r="J112" s="153" t="s">
        <v>334</v>
      </c>
      <c r="K112" s="159" t="s">
        <v>51</v>
      </c>
    </row>
    <row r="113" spans="1:11" ht="14.25" x14ac:dyDescent="0.2">
      <c r="A113" s="150" t="s">
        <v>399</v>
      </c>
      <c r="B113" s="151" t="s">
        <v>13</v>
      </c>
      <c r="C113" s="151" t="s">
        <v>845</v>
      </c>
      <c r="D113" s="123" t="s">
        <v>336</v>
      </c>
      <c r="E113" s="154">
        <v>46140</v>
      </c>
      <c r="F113" s="154">
        <v>46144</v>
      </c>
      <c r="G113" s="133">
        <v>46144</v>
      </c>
      <c r="H113" s="153"/>
      <c r="I113" s="153" t="s">
        <v>337</v>
      </c>
      <c r="J113" s="153" t="s">
        <v>338</v>
      </c>
      <c r="K113" s="155" t="s">
        <v>339</v>
      </c>
    </row>
    <row r="114" spans="1:11" ht="14.25" x14ac:dyDescent="0.2">
      <c r="A114" s="150" t="s">
        <v>399</v>
      </c>
      <c r="B114" s="151" t="s">
        <v>20</v>
      </c>
      <c r="C114" s="151" t="s">
        <v>847</v>
      </c>
      <c r="D114" s="123" t="s">
        <v>54</v>
      </c>
      <c r="E114" s="152">
        <v>46139</v>
      </c>
      <c r="F114" s="152">
        <v>46144</v>
      </c>
      <c r="G114" s="133">
        <v>46175</v>
      </c>
      <c r="H114" s="153"/>
      <c r="I114" s="153" t="s">
        <v>341</v>
      </c>
      <c r="J114" s="153" t="s">
        <v>268</v>
      </c>
      <c r="K114" s="155" t="s">
        <v>342</v>
      </c>
    </row>
  </sheetData>
  <conditionalFormatting sqref="C36:C114">
    <cfRule type="containsText" dxfId="82" priority="3" operator="containsText" text="Done">
      <formula>NOT(ISERROR(SEARCH(("Done"),(C36))))</formula>
    </cfRule>
  </conditionalFormatting>
  <conditionalFormatting sqref="D3:D114 I11:K114">
    <cfRule type="containsBlanks" dxfId="81" priority="5">
      <formula>LEN(TRIM(D3))=0</formula>
    </cfRule>
  </conditionalFormatting>
  <conditionalFormatting sqref="E3:F114">
    <cfRule type="cellIs" dxfId="80" priority="4" operator="lessThan">
      <formula>TODAY()</formula>
    </cfRule>
  </conditionalFormatting>
  <conditionalFormatting sqref="G2:G114">
    <cfRule type="containsBlanks" dxfId="79" priority="18">
      <formula>LEN(TRIM(G2))=0</formula>
    </cfRule>
  </conditionalFormatting>
  <conditionalFormatting sqref="G3:G10 C3:C33">
    <cfRule type="containsText" dxfId="78" priority="117" operator="containsText" text="Done">
      <formula>NOT(ISERROR(SEARCH(("Done"),(C3))))</formula>
    </cfRule>
  </conditionalFormatting>
  <conditionalFormatting sqref="H3:H31 H34:H40">
    <cfRule type="containsText" dxfId="77" priority="74" operator="containsText" text="Done">
      <formula>NOT(ISERROR(SEARCH(("Done"),(H3))))</formula>
    </cfRule>
  </conditionalFormatting>
  <conditionalFormatting sqref="H32:H33">
    <cfRule type="containsBlanks" dxfId="76" priority="2">
      <formula>LEN(TRIM(H32))=0</formula>
    </cfRule>
  </conditionalFormatting>
  <conditionalFormatting sqref="H42">
    <cfRule type="containsText" dxfId="75" priority="57" operator="containsText" text="Done">
      <formula>NOT(ISERROR(SEARCH(("Done"),(H42))))</formula>
    </cfRule>
  </conditionalFormatting>
  <conditionalFormatting sqref="H43">
    <cfRule type="containsBlanks" dxfId="74" priority="1">
      <formula>LEN(TRIM(H43))=0</formula>
    </cfRule>
  </conditionalFormatting>
  <conditionalFormatting sqref="H44">
    <cfRule type="containsText" dxfId="73" priority="55" operator="containsText" text="Done">
      <formula>NOT(ISERROR(SEARCH(("Done"),(H44))))</formula>
    </cfRule>
  </conditionalFormatting>
  <conditionalFormatting sqref="H56:H57">
    <cfRule type="containsBlanks" dxfId="72" priority="26">
      <formula>LEN(TRIM(H56))=0</formula>
    </cfRule>
  </conditionalFormatting>
  <conditionalFormatting sqref="H59:H60">
    <cfRule type="containsBlanks" dxfId="71" priority="10">
      <formula>LEN(TRIM(H59))=0</formula>
    </cfRule>
  </conditionalFormatting>
  <conditionalFormatting sqref="H66">
    <cfRule type="containsBlanks" dxfId="70" priority="29">
      <formula>LEN(TRIM(H66))=0</formula>
    </cfRule>
  </conditionalFormatting>
  <conditionalFormatting sqref="H105:H106">
    <cfRule type="containsText" dxfId="69" priority="41" operator="containsText" text="Done">
      <formula>NOT(ISERROR(SEARCH(("Done"),(H105))))</formula>
    </cfRule>
  </conditionalFormatting>
  <conditionalFormatting sqref="I8">
    <cfRule type="containsBlanks" dxfId="68" priority="69">
      <formula>LEN(TRIM(I8))=0</formula>
    </cfRule>
  </conditionalFormatting>
  <conditionalFormatting sqref="I2:K7 J8:K8 I9:K9 J10:K10">
    <cfRule type="containsBlanks" dxfId="67" priority="107">
      <formula>LEN(TRIM(I2))=0</formula>
    </cfRule>
  </conditionalFormatting>
  <hyperlinks>
    <hyperlink ref="H3" r:id="rId1" xr:uid="{FACD6E84-ED75-4B74-951C-5F5DC79AFE24}"/>
    <hyperlink ref="H4" r:id="rId2" xr:uid="{C977FE58-CD8C-460D-8076-643440897FBA}"/>
    <hyperlink ref="H6" r:id="rId3" xr:uid="{F8DEE2E5-6552-4674-9A7C-EA1CA71BB4E8}"/>
    <hyperlink ref="H5" r:id="rId4" xr:uid="{19288B39-1124-4E07-A9B4-BE27FA5DE76E}"/>
    <hyperlink ref="H7" r:id="rId5" xr:uid="{8499A6B5-8BA7-4E7A-AB15-D5477B7C8E21}"/>
    <hyperlink ref="H8" r:id="rId6" xr:uid="{EA69DC5A-919D-4D6D-A9A2-FF451BB82E9E}"/>
    <hyperlink ref="H9" r:id="rId7" xr:uid="{83F53953-2254-43D1-A5F0-20BE73B82C9F}"/>
    <hyperlink ref="H10" r:id="rId8" xr:uid="{40CD2104-1E35-400B-87F9-A6C5B2786C72}"/>
    <hyperlink ref="H11" r:id="rId9" xr:uid="{DF967BFE-08F7-4D58-A8D2-92E5016B6B97}"/>
    <hyperlink ref="H16" r:id="rId10" display="ink" xr:uid="{9CC0B04D-EBA1-45A0-B0F9-78C7D31D1272}"/>
    <hyperlink ref="H17" r:id="rId11" xr:uid="{499F8259-A6FA-4ED4-B7BA-73CF1EF974D0}"/>
    <hyperlink ref="H21" r:id="rId12" display="ink" xr:uid="{33190840-3D77-4BD9-9C81-A00FA53A913A}"/>
    <hyperlink ref="H12" r:id="rId13" xr:uid="{7911A030-D030-4E2C-8B3A-68044339061C}"/>
    <hyperlink ref="H26" r:id="rId14" xr:uid="{E236F96A-050B-4535-9ACA-0AADE78B8459}"/>
    <hyperlink ref="H13" r:id="rId15" xr:uid="{7DDC1FF2-7C04-400B-95EC-DE129F489B1E}"/>
    <hyperlink ref="H14" r:id="rId16" xr:uid="{BD44C6ED-5395-4AF9-8A74-8023D966E39D}"/>
    <hyperlink ref="H15" r:id="rId17" xr:uid="{0F0D221C-1CB0-4635-B6CD-75161CCA46EB}"/>
    <hyperlink ref="H20" r:id="rId18" xr:uid="{D2F2D0E7-5825-4F95-A798-CC90DEB8126F}"/>
    <hyperlink ref="H19" r:id="rId19" xr:uid="{5CD99784-D304-40D8-A6B8-474F79DBC826}"/>
    <hyperlink ref="H18" r:id="rId20" xr:uid="{57DA4B9D-DF7D-4A53-B43C-BC2821A51831}"/>
    <hyperlink ref="H22" r:id="rId21" xr:uid="{AEBDAFF8-A50E-438A-B6F9-DED6D8B1F71D}"/>
    <hyperlink ref="H24" r:id="rId22" xr:uid="{44D870DA-F801-45A3-959F-EF0C4E4C6D8F}"/>
    <hyperlink ref="H23" r:id="rId23" xr:uid="{F437B30B-E21B-4138-97CA-64678BE0813F}"/>
    <hyperlink ref="H25" r:id="rId24" xr:uid="{CF6AEFB4-9583-49FD-8559-DA4D7C9E6858}"/>
    <hyperlink ref="H28" r:id="rId25" xr:uid="{C8A1468D-ECC5-4B2D-B12E-5F6929680761}"/>
    <hyperlink ref="H29" r:id="rId26" xr:uid="{224252EB-4E28-49B2-B451-529FBD040579}"/>
    <hyperlink ref="H27" r:id="rId27" xr:uid="{CF8A7C8F-FAE0-41D7-8D3C-5327E4141902}"/>
    <hyperlink ref="H30" r:id="rId28" xr:uid="{25E5D479-1CCD-4C36-AA28-2542B6BD6BAA}"/>
    <hyperlink ref="H31" r:id="rId29" xr:uid="{D5F54AE7-2FE9-475D-B029-2B9DBED589A4}"/>
    <hyperlink ref="H32" r:id="rId30" xr:uid="{57267B34-441B-49BF-A7DE-DB42B0EAD997}"/>
    <hyperlink ref="H33" r:id="rId31" xr:uid="{98E93DE8-2DC7-463E-91F0-5AE61AACA753}"/>
    <hyperlink ref="H34" r:id="rId32" xr:uid="{E30DA1B9-D975-45FE-87E8-9D304C48C981}"/>
    <hyperlink ref="H38" r:id="rId33" xr:uid="{536B5843-2C50-4149-82EB-2ACF014AA704}"/>
    <hyperlink ref="H40" r:id="rId34" xr:uid="{20230728-ECDB-4251-B5B0-FF520CF9A9CC}"/>
    <hyperlink ref="H35" r:id="rId35" xr:uid="{4A89BCD1-ED1F-4981-9D7A-47A7B56BADF5}"/>
    <hyperlink ref="H36" r:id="rId36" xr:uid="{D9575366-F66E-4429-8FD3-0CFCF26E39CE}"/>
    <hyperlink ref="H39" r:id="rId37" xr:uid="{EF6557A2-2615-4BE4-B386-0EC50BCB04AE}"/>
    <hyperlink ref="H41" r:id="rId38" xr:uid="{26C01867-3C36-4702-BEFD-00F8700317FD}"/>
    <hyperlink ref="H37" r:id="rId39" xr:uid="{AD9ADA52-F7E8-4B01-B9DF-15BB822F5B5D}"/>
    <hyperlink ref="H42" r:id="rId40" xr:uid="{1AA4C984-7031-4F98-8CF2-9D12AB748901}"/>
    <hyperlink ref="H44" r:id="rId41" xr:uid="{179B202A-E8C8-40C7-AEF4-B99812539C82}"/>
    <hyperlink ref="H43" r:id="rId42" xr:uid="{98135AE7-F2D0-4A52-87B3-66F56B932C82}"/>
    <hyperlink ref="H45" r:id="rId43" xr:uid="{1CC38BFE-85D6-460D-AB64-CDF57027C27C}"/>
    <hyperlink ref="H47" r:id="rId44" display="sched" xr:uid="{D7B202F6-3384-4A72-9047-0622B1AF4654}"/>
    <hyperlink ref="H50" r:id="rId45" xr:uid="{F26C226D-46F5-44EC-B40F-C5280C364CA6}"/>
    <hyperlink ref="H46" r:id="rId46" xr:uid="{5ED036F6-769A-41DA-9A04-965EF8FDFE6D}"/>
    <hyperlink ref="H49" r:id="rId47" xr:uid="{48F56FF5-D89C-4153-B744-F73C7213110E}"/>
    <hyperlink ref="H48" r:id="rId48" xr:uid="{39C12257-DC5F-4E1B-BE61-0583C7830DA0}"/>
    <hyperlink ref="H51" r:id="rId49" xr:uid="{833052BC-1AC0-4C72-B1D3-4E54E6EDC076}"/>
    <hyperlink ref="H52" r:id="rId50" xr:uid="{F6C0A478-496F-4B94-BBC5-FE62570D3327}"/>
    <hyperlink ref="H53" r:id="rId51" xr:uid="{15A84579-E3FC-499E-8553-555106F8D27D}"/>
    <hyperlink ref="H54" r:id="rId52" xr:uid="{8E856629-B927-4DA3-80C5-078BF2F4A59D}"/>
    <hyperlink ref="H55" r:id="rId53" xr:uid="{C999F53D-DC94-44D1-A384-F972287BE40E}"/>
    <hyperlink ref="H56" r:id="rId54" xr:uid="{FA9189F2-E5D8-4A67-AD52-0CAF6DFBA100}"/>
    <hyperlink ref="H57" r:id="rId55" xr:uid="{2D5C0E2D-EBEF-49AD-BAC6-CCC14FD8B75D}"/>
    <hyperlink ref="H59" r:id="rId56" xr:uid="{9C3D51E0-D2AB-430D-A7A1-68DEB8033339}"/>
    <hyperlink ref="H58" r:id="rId57" xr:uid="{872D2891-003D-4CA9-B386-AC151B60D8A3}"/>
    <hyperlink ref="H65" r:id="rId58" xr:uid="{B0719BD3-5C66-4018-98B1-8B93B502C7B9}"/>
    <hyperlink ref="H63" r:id="rId59" xr:uid="{BDFF50FB-7C6D-4EBF-812C-0D2938C9960E}"/>
    <hyperlink ref="H62" r:id="rId60" xr:uid="{7C5CA42D-7535-459A-9BF8-6E52B6DBA03E}"/>
    <hyperlink ref="H66" r:id="rId61" xr:uid="{0409AD6B-7AA8-4696-A80D-871F28C8E506}"/>
    <hyperlink ref="H80" r:id="rId62" xr:uid="{085C9E9F-0856-4539-BDA0-9BB5F3DE7949}"/>
    <hyperlink ref="H81" r:id="rId63" xr:uid="{44EDB469-E911-43A8-9516-0CB283A33366}"/>
    <hyperlink ref="H79" r:id="rId64" xr:uid="{6407780C-2A22-4A2A-BC5F-5AE5B3477C17}"/>
  </hyperlinks>
  <pageMargins left="0.7" right="0.7" top="0.75" bottom="0.75" header="0.3" footer="0.3"/>
  <tableParts count="1">
    <tablePart r:id="rId6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467A4-0D9C-47B5-8956-0208DC9B3BDF}">
  <sheetPr filterMode="1">
    <tabColor rgb="FFFFFF00"/>
  </sheetPr>
  <dimension ref="A1:K116"/>
  <sheetViews>
    <sheetView workbookViewId="0">
      <selection activeCell="B44" sqref="B44"/>
    </sheetView>
  </sheetViews>
  <sheetFormatPr defaultRowHeight="15.75" x14ac:dyDescent="0.25"/>
  <cols>
    <col min="1" max="1" width="19.5703125" style="189" bestFit="1" customWidth="1"/>
    <col min="2" max="2" width="21.85546875" style="189" bestFit="1" customWidth="1"/>
    <col min="3" max="3" width="54.85546875" style="190" bestFit="1" customWidth="1"/>
    <col min="4" max="4" width="39.140625" style="189" bestFit="1" customWidth="1"/>
    <col min="5" max="6" width="15.42578125" style="189" bestFit="1" customWidth="1"/>
    <col min="7" max="7" width="11.140625" style="189" bestFit="1" customWidth="1"/>
    <col min="8" max="8" width="20.42578125" style="189" bestFit="1" customWidth="1"/>
    <col min="9" max="9" width="22.28515625" style="189" bestFit="1" customWidth="1"/>
    <col min="10" max="10" width="26.42578125" style="189" bestFit="1" customWidth="1"/>
    <col min="11" max="11" width="21" style="189" bestFit="1" customWidth="1"/>
    <col min="12" max="16384" width="9.140625" style="189"/>
  </cols>
  <sheetData>
    <row r="1" spans="1:11" ht="18.75" x14ac:dyDescent="0.3">
      <c r="A1" s="162" t="s">
        <v>1</v>
      </c>
      <c r="B1" s="162" t="s">
        <v>343</v>
      </c>
      <c r="C1" s="162" t="s">
        <v>3</v>
      </c>
      <c r="D1" s="162" t="s">
        <v>4</v>
      </c>
      <c r="E1" s="162" t="s">
        <v>5</v>
      </c>
      <c r="F1" s="162" t="s">
        <v>6</v>
      </c>
      <c r="G1" s="162" t="s">
        <v>344</v>
      </c>
      <c r="H1" s="163" t="s">
        <v>8</v>
      </c>
      <c r="I1" s="164" t="s">
        <v>9</v>
      </c>
      <c r="J1" s="164" t="s">
        <v>10</v>
      </c>
      <c r="K1" s="164" t="s">
        <v>11</v>
      </c>
    </row>
    <row r="2" spans="1:11" ht="18.75" x14ac:dyDescent="0.3">
      <c r="A2" s="166" t="s">
        <v>394</v>
      </c>
      <c r="B2" s="166" t="s">
        <v>13</v>
      </c>
      <c r="C2" s="166" t="s">
        <v>322</v>
      </c>
      <c r="D2" s="170" t="s">
        <v>353</v>
      </c>
      <c r="E2" s="199">
        <v>46138</v>
      </c>
      <c r="F2" s="176">
        <v>46143</v>
      </c>
      <c r="G2" s="166"/>
      <c r="H2" s="166"/>
      <c r="I2" s="166"/>
      <c r="J2" s="166"/>
      <c r="K2" s="166"/>
    </row>
    <row r="3" spans="1:11" ht="18.75" x14ac:dyDescent="0.3">
      <c r="A3" s="165" t="s">
        <v>12</v>
      </c>
      <c r="B3" s="165" t="s">
        <v>13</v>
      </c>
      <c r="C3" s="165" t="s">
        <v>256</v>
      </c>
      <c r="D3" s="165" t="s">
        <v>141</v>
      </c>
      <c r="E3" s="192">
        <v>46154</v>
      </c>
      <c r="F3" s="172">
        <v>46158</v>
      </c>
      <c r="G3" s="168"/>
      <c r="H3" s="168"/>
      <c r="I3" s="173"/>
      <c r="J3" s="173"/>
      <c r="K3" s="168"/>
    </row>
    <row r="4" spans="1:11" ht="18.75" x14ac:dyDescent="0.3">
      <c r="A4" s="165" t="s">
        <v>12</v>
      </c>
      <c r="B4" s="165" t="s">
        <v>13</v>
      </c>
      <c r="C4" s="165" t="s">
        <v>14</v>
      </c>
      <c r="D4" s="165" t="s">
        <v>27</v>
      </c>
      <c r="E4" s="192">
        <v>46170</v>
      </c>
      <c r="F4" s="172">
        <v>46179</v>
      </c>
      <c r="G4" s="168"/>
      <c r="H4" s="168"/>
      <c r="I4" s="168"/>
      <c r="J4" s="168"/>
      <c r="K4" s="168"/>
    </row>
    <row r="5" spans="1:11" ht="18.75" x14ac:dyDescent="0.3">
      <c r="A5" s="165" t="s">
        <v>43</v>
      </c>
      <c r="B5" s="165" t="s">
        <v>13</v>
      </c>
      <c r="C5" s="166" t="s">
        <v>798</v>
      </c>
      <c r="D5" s="170" t="s">
        <v>68</v>
      </c>
      <c r="E5" s="192">
        <v>46190</v>
      </c>
      <c r="F5" s="172">
        <v>46192</v>
      </c>
      <c r="G5" s="165"/>
      <c r="H5" s="165"/>
      <c r="I5" s="180" t="s">
        <v>190</v>
      </c>
      <c r="J5" s="180" t="s">
        <v>361</v>
      </c>
      <c r="K5" s="180" t="s">
        <v>362</v>
      </c>
    </row>
    <row r="6" spans="1:11" ht="18.75" x14ac:dyDescent="0.3">
      <c r="A6" s="166" t="s">
        <v>394</v>
      </c>
      <c r="B6" s="166" t="s">
        <v>13</v>
      </c>
      <c r="C6" s="166" t="s">
        <v>776</v>
      </c>
      <c r="D6" s="170" t="s">
        <v>48</v>
      </c>
      <c r="E6" s="192">
        <v>46204</v>
      </c>
      <c r="F6" s="172">
        <v>46207</v>
      </c>
      <c r="G6" s="166"/>
      <c r="H6" s="166"/>
      <c r="I6" s="166"/>
      <c r="J6" s="166"/>
      <c r="K6" s="166"/>
    </row>
    <row r="7" spans="1:11" ht="18.75" x14ac:dyDescent="0.3">
      <c r="A7" s="166" t="s">
        <v>399</v>
      </c>
      <c r="B7" s="166" t="s">
        <v>20</v>
      </c>
      <c r="C7" s="166" t="s">
        <v>21</v>
      </c>
      <c r="D7" s="166" t="s">
        <v>120</v>
      </c>
      <c r="E7" s="192">
        <v>46267</v>
      </c>
      <c r="F7" s="172">
        <v>46270</v>
      </c>
      <c r="G7" s="174"/>
      <c r="H7" s="166"/>
      <c r="I7" s="181" t="s">
        <v>23</v>
      </c>
      <c r="J7" s="181" t="s">
        <v>24</v>
      </c>
      <c r="K7" s="181" t="s">
        <v>23</v>
      </c>
    </row>
    <row r="8" spans="1:11" ht="18.75" x14ac:dyDescent="0.3">
      <c r="A8" s="166" t="s">
        <v>399</v>
      </c>
      <c r="B8" s="166" t="s">
        <v>13</v>
      </c>
      <c r="C8" s="166" t="s">
        <v>34</v>
      </c>
      <c r="D8" s="166" t="s">
        <v>358</v>
      </c>
      <c r="E8" s="199">
        <v>46282</v>
      </c>
      <c r="F8" s="176">
        <v>46284</v>
      </c>
      <c r="G8" s="166"/>
      <c r="H8" s="166"/>
      <c r="I8" s="181" t="s">
        <v>299</v>
      </c>
      <c r="J8" s="181" t="s">
        <v>37</v>
      </c>
      <c r="K8" s="181"/>
    </row>
    <row r="9" spans="1:11" ht="18.75" x14ac:dyDescent="0.3">
      <c r="A9" s="166" t="s">
        <v>52</v>
      </c>
      <c r="B9" s="166" t="s">
        <v>20</v>
      </c>
      <c r="C9" s="166" t="s">
        <v>292</v>
      </c>
      <c r="D9" s="166" t="s">
        <v>315</v>
      </c>
      <c r="E9" s="175">
        <v>46284</v>
      </c>
      <c r="F9" s="176">
        <v>46287</v>
      </c>
      <c r="G9" s="166"/>
      <c r="H9" s="166"/>
      <c r="I9" s="166"/>
      <c r="J9" s="166"/>
      <c r="K9" s="166"/>
    </row>
    <row r="10" spans="1:11" ht="18.75" x14ac:dyDescent="0.3">
      <c r="A10" s="166" t="s">
        <v>25</v>
      </c>
      <c r="B10" s="166" t="s">
        <v>20</v>
      </c>
      <c r="C10" s="166" t="s">
        <v>26</v>
      </c>
      <c r="D10" s="166" t="s">
        <v>315</v>
      </c>
      <c r="E10" s="175">
        <v>46295</v>
      </c>
      <c r="F10" s="176">
        <v>46298</v>
      </c>
      <c r="G10" s="174"/>
      <c r="H10" s="166"/>
      <c r="I10" s="166"/>
      <c r="J10" s="166"/>
      <c r="K10" s="166"/>
    </row>
    <row r="11" spans="1:11" ht="18.75" x14ac:dyDescent="0.3">
      <c r="A11" s="166" t="s">
        <v>399</v>
      </c>
      <c r="B11" s="166" t="s">
        <v>13</v>
      </c>
      <c r="C11" s="166" t="s">
        <v>94</v>
      </c>
      <c r="D11" s="166" t="s">
        <v>352</v>
      </c>
      <c r="E11" s="171">
        <v>46342</v>
      </c>
      <c r="F11" s="172">
        <v>46347</v>
      </c>
      <c r="G11" s="166"/>
      <c r="H11" s="166"/>
      <c r="I11" s="166"/>
      <c r="J11" s="166"/>
      <c r="K11" s="166"/>
    </row>
    <row r="12" spans="1:11" ht="18.75" x14ac:dyDescent="0.3">
      <c r="A12" s="165" t="s">
        <v>12</v>
      </c>
      <c r="B12" s="165" t="s">
        <v>20</v>
      </c>
      <c r="C12" s="165" t="s">
        <v>256</v>
      </c>
      <c r="D12" s="165" t="s">
        <v>27</v>
      </c>
      <c r="E12" s="191" t="s">
        <v>348</v>
      </c>
      <c r="F12" s="171"/>
      <c r="G12" s="168"/>
      <c r="H12" s="168"/>
      <c r="I12" s="173"/>
      <c r="J12" s="173"/>
      <c r="K12" s="168"/>
    </row>
    <row r="13" spans="1:11" ht="18.75" x14ac:dyDescent="0.3">
      <c r="A13" s="165" t="s">
        <v>43</v>
      </c>
      <c r="B13" s="165" t="s">
        <v>13</v>
      </c>
      <c r="C13" s="166" t="s">
        <v>202</v>
      </c>
      <c r="D13" s="165" t="s">
        <v>345</v>
      </c>
      <c r="E13" s="171"/>
      <c r="F13" s="172"/>
      <c r="G13" s="166"/>
      <c r="H13" s="166"/>
      <c r="I13" s="180" t="s">
        <v>203</v>
      </c>
      <c r="J13" s="180" t="s">
        <v>204</v>
      </c>
      <c r="K13" s="180" t="s">
        <v>205</v>
      </c>
    </row>
    <row r="14" spans="1:11" ht="18.75" x14ac:dyDescent="0.3">
      <c r="A14" s="166" t="s">
        <v>25</v>
      </c>
      <c r="B14" s="166" t="s">
        <v>20</v>
      </c>
      <c r="C14" s="166" t="s">
        <v>391</v>
      </c>
      <c r="D14" s="166" t="s">
        <v>22</v>
      </c>
      <c r="E14" s="171"/>
      <c r="F14" s="172"/>
      <c r="G14" s="166"/>
      <c r="H14" s="166"/>
      <c r="I14" s="181"/>
      <c r="J14" s="181" t="s">
        <v>346</v>
      </c>
      <c r="K14" s="181"/>
    </row>
    <row r="15" spans="1:11" ht="18.75" x14ac:dyDescent="0.3">
      <c r="A15" s="166" t="s">
        <v>394</v>
      </c>
      <c r="B15" s="166" t="s">
        <v>20</v>
      </c>
      <c r="C15" s="166" t="s">
        <v>244</v>
      </c>
      <c r="D15" s="166" t="s">
        <v>347</v>
      </c>
      <c r="E15" s="171"/>
      <c r="F15" s="172"/>
      <c r="G15" s="166"/>
      <c r="H15" s="166"/>
      <c r="I15" s="166"/>
      <c r="J15" s="166"/>
      <c r="K15" s="166"/>
    </row>
    <row r="16" spans="1:11" ht="18.75" x14ac:dyDescent="0.3">
      <c r="A16" s="165" t="s">
        <v>52</v>
      </c>
      <c r="B16" s="165" t="s">
        <v>20</v>
      </c>
      <c r="C16" s="166" t="s">
        <v>835</v>
      </c>
      <c r="D16" s="166" t="s">
        <v>347</v>
      </c>
      <c r="E16" s="169"/>
      <c r="F16" s="166"/>
      <c r="G16" s="166"/>
      <c r="H16" s="168"/>
      <c r="I16" s="168"/>
      <c r="J16" s="168"/>
      <c r="K16" s="168"/>
    </row>
    <row r="17" spans="1:11" ht="18.75" x14ac:dyDescent="0.3">
      <c r="A17" s="166" t="s">
        <v>399</v>
      </c>
      <c r="B17" s="166" t="s">
        <v>13</v>
      </c>
      <c r="C17" s="166" t="s">
        <v>296</v>
      </c>
      <c r="D17" s="166" t="s">
        <v>347</v>
      </c>
      <c r="E17" s="169"/>
      <c r="F17" s="166"/>
      <c r="G17" s="166"/>
      <c r="H17" s="166"/>
      <c r="I17" s="166"/>
      <c r="J17" s="166"/>
      <c r="K17" s="166"/>
    </row>
    <row r="18" spans="1:11" ht="18.75" x14ac:dyDescent="0.3">
      <c r="A18" s="166" t="s">
        <v>43</v>
      </c>
      <c r="B18" s="166" t="s">
        <v>13</v>
      </c>
      <c r="C18" s="166" t="s">
        <v>44</v>
      </c>
      <c r="D18" s="170" t="s">
        <v>336</v>
      </c>
      <c r="E18" s="171"/>
      <c r="F18" s="172"/>
      <c r="G18" s="166"/>
      <c r="H18" s="166"/>
      <c r="I18" s="170"/>
      <c r="J18" s="170"/>
      <c r="K18" s="170"/>
    </row>
    <row r="19" spans="1:11" ht="18.75" x14ac:dyDescent="0.3">
      <c r="A19" s="166" t="s">
        <v>25</v>
      </c>
      <c r="B19" s="166" t="s">
        <v>13</v>
      </c>
      <c r="C19" s="166" t="s">
        <v>144</v>
      </c>
      <c r="D19" s="166" t="s">
        <v>104</v>
      </c>
      <c r="E19" s="169"/>
      <c r="F19" s="166"/>
      <c r="G19" s="166"/>
      <c r="H19" s="166"/>
      <c r="I19" s="166"/>
      <c r="J19" s="166"/>
      <c r="K19" s="166"/>
    </row>
    <row r="20" spans="1:11" ht="18.75" x14ac:dyDescent="0.3">
      <c r="A20" s="166" t="s">
        <v>52</v>
      </c>
      <c r="B20" s="166" t="s">
        <v>20</v>
      </c>
      <c r="C20" s="166" t="s">
        <v>821</v>
      </c>
      <c r="D20" s="166" t="s">
        <v>305</v>
      </c>
      <c r="E20" s="169"/>
      <c r="F20" s="166"/>
      <c r="G20" s="166"/>
      <c r="H20" s="166"/>
      <c r="I20" s="166"/>
      <c r="J20" s="166"/>
      <c r="K20" s="166"/>
    </row>
    <row r="21" spans="1:11" ht="18.75" x14ac:dyDescent="0.3">
      <c r="A21" s="166" t="s">
        <v>394</v>
      </c>
      <c r="B21" s="166" t="s">
        <v>20</v>
      </c>
      <c r="C21" s="166" t="s">
        <v>833</v>
      </c>
      <c r="D21" s="166" t="s">
        <v>305</v>
      </c>
      <c r="E21" s="169"/>
      <c r="F21" s="166"/>
      <c r="G21" s="166"/>
      <c r="H21" s="166"/>
      <c r="I21" s="166"/>
      <c r="J21" s="166"/>
      <c r="K21" s="166"/>
    </row>
    <row r="22" spans="1:11" ht="18.75" x14ac:dyDescent="0.3">
      <c r="A22" s="166" t="s">
        <v>394</v>
      </c>
      <c r="B22" s="166" t="s">
        <v>20</v>
      </c>
      <c r="C22" s="166" t="s">
        <v>160</v>
      </c>
      <c r="D22" s="166" t="s">
        <v>27</v>
      </c>
      <c r="E22" s="169"/>
      <c r="F22" s="166"/>
      <c r="G22" s="166"/>
      <c r="H22" s="166"/>
      <c r="I22" s="166"/>
      <c r="J22" s="166"/>
      <c r="K22" s="166"/>
    </row>
    <row r="23" spans="1:11" ht="18.75" x14ac:dyDescent="0.3">
      <c r="A23" s="166" t="s">
        <v>43</v>
      </c>
      <c r="B23" s="166" t="s">
        <v>20</v>
      </c>
      <c r="C23" s="166" t="s">
        <v>800</v>
      </c>
      <c r="D23" s="166" t="s">
        <v>27</v>
      </c>
      <c r="E23" s="169"/>
      <c r="F23" s="169"/>
      <c r="G23" s="166"/>
      <c r="H23" s="166"/>
      <c r="I23" s="166"/>
      <c r="J23" s="166"/>
      <c r="K23" s="166"/>
    </row>
    <row r="24" spans="1:11" ht="18.75" x14ac:dyDescent="0.3">
      <c r="A24" s="166" t="s">
        <v>394</v>
      </c>
      <c r="B24" s="166" t="s">
        <v>20</v>
      </c>
      <c r="C24" s="166" t="s">
        <v>232</v>
      </c>
      <c r="D24" s="166" t="s">
        <v>27</v>
      </c>
      <c r="E24" s="169"/>
      <c r="F24" s="169"/>
      <c r="G24" s="166"/>
      <c r="H24" s="166"/>
      <c r="I24" s="166"/>
      <c r="J24" s="166"/>
      <c r="K24" s="166"/>
    </row>
    <row r="25" spans="1:11" ht="18.75" x14ac:dyDescent="0.3">
      <c r="A25" s="166" t="s">
        <v>43</v>
      </c>
      <c r="B25" s="166" t="s">
        <v>20</v>
      </c>
      <c r="C25" s="166" t="s">
        <v>220</v>
      </c>
      <c r="D25" s="166" t="s">
        <v>27</v>
      </c>
      <c r="E25" s="169"/>
      <c r="F25" s="166"/>
      <c r="G25" s="166"/>
      <c r="H25" s="166"/>
      <c r="I25" s="166"/>
      <c r="J25" s="166"/>
      <c r="K25" s="166"/>
    </row>
    <row r="26" spans="1:11" ht="18.75" x14ac:dyDescent="0.3">
      <c r="A26" s="166" t="s">
        <v>399</v>
      </c>
      <c r="B26" s="166" t="s">
        <v>20</v>
      </c>
      <c r="C26" s="166" t="s">
        <v>792</v>
      </c>
      <c r="D26" s="166" t="s">
        <v>228</v>
      </c>
      <c r="E26" s="169"/>
      <c r="F26" s="166"/>
      <c r="G26" s="166"/>
      <c r="H26" s="166"/>
      <c r="I26" s="166"/>
      <c r="J26" s="166"/>
      <c r="K26" s="166"/>
    </row>
    <row r="27" spans="1:11" ht="18.75" x14ac:dyDescent="0.3">
      <c r="A27" s="166" t="s">
        <v>399</v>
      </c>
      <c r="B27" s="166" t="s">
        <v>20</v>
      </c>
      <c r="C27" s="166" t="s">
        <v>847</v>
      </c>
      <c r="D27" s="166" t="s">
        <v>228</v>
      </c>
      <c r="E27" s="169"/>
      <c r="F27" s="166"/>
      <c r="G27" s="166"/>
      <c r="H27" s="166"/>
      <c r="I27" s="166"/>
      <c r="J27" s="166"/>
      <c r="K27" s="166"/>
    </row>
    <row r="28" spans="1:11" ht="14.25" customHeight="1" x14ac:dyDescent="0.3">
      <c r="A28" s="166" t="s">
        <v>43</v>
      </c>
      <c r="B28" s="166" t="s">
        <v>20</v>
      </c>
      <c r="C28" s="166" t="s">
        <v>834</v>
      </c>
      <c r="D28" s="166" t="s">
        <v>235</v>
      </c>
      <c r="E28" s="169"/>
      <c r="F28" s="166"/>
      <c r="G28" s="166"/>
      <c r="H28" s="166"/>
      <c r="I28" s="166"/>
      <c r="J28" s="166"/>
      <c r="K28" s="166"/>
    </row>
    <row r="29" spans="1:11" ht="18.75" x14ac:dyDescent="0.3">
      <c r="A29" s="166" t="s">
        <v>25</v>
      </c>
      <c r="B29" s="166" t="s">
        <v>13</v>
      </c>
      <c r="C29" s="166" t="s">
        <v>239</v>
      </c>
      <c r="D29" s="166" t="s">
        <v>293</v>
      </c>
      <c r="E29" s="169"/>
      <c r="F29" s="166"/>
      <c r="G29" s="166"/>
      <c r="H29" s="166"/>
      <c r="I29" s="166"/>
      <c r="J29" s="166"/>
      <c r="K29" s="166"/>
    </row>
    <row r="30" spans="1:11" ht="18.75" x14ac:dyDescent="0.3">
      <c r="A30" s="166" t="s">
        <v>399</v>
      </c>
      <c r="B30" s="166" t="s">
        <v>13</v>
      </c>
      <c r="C30" s="166" t="s">
        <v>304</v>
      </c>
      <c r="D30" s="170" t="s">
        <v>349</v>
      </c>
      <c r="E30" s="171"/>
      <c r="F30" s="172"/>
      <c r="G30" s="166"/>
      <c r="H30" s="166"/>
      <c r="I30" s="166"/>
      <c r="J30" s="166"/>
      <c r="K30" s="166"/>
    </row>
    <row r="31" spans="1:11" ht="18.75" x14ac:dyDescent="0.3">
      <c r="A31" s="166" t="s">
        <v>394</v>
      </c>
      <c r="B31" s="166" t="s">
        <v>13</v>
      </c>
      <c r="C31" s="166" t="s">
        <v>264</v>
      </c>
      <c r="D31" s="166" t="s">
        <v>131</v>
      </c>
      <c r="E31" s="169"/>
      <c r="F31" s="166"/>
      <c r="G31" s="166"/>
      <c r="H31" s="166"/>
      <c r="I31" s="166"/>
      <c r="J31" s="166"/>
      <c r="K31" s="166"/>
    </row>
    <row r="32" spans="1:11" ht="18.75" x14ac:dyDescent="0.3">
      <c r="A32" s="166" t="s">
        <v>394</v>
      </c>
      <c r="B32" s="166" t="s">
        <v>13</v>
      </c>
      <c r="C32" s="166" t="s">
        <v>814</v>
      </c>
      <c r="D32" s="166" t="s">
        <v>225</v>
      </c>
      <c r="E32" s="169"/>
      <c r="F32" s="166"/>
      <c r="G32" s="166"/>
      <c r="H32" s="166"/>
      <c r="I32" s="166"/>
      <c r="J32" s="166"/>
      <c r="K32" s="166"/>
    </row>
    <row r="33" spans="1:11" ht="18.75" x14ac:dyDescent="0.3">
      <c r="A33" s="166" t="s">
        <v>399</v>
      </c>
      <c r="B33" s="166" t="s">
        <v>13</v>
      </c>
      <c r="C33" s="166" t="s">
        <v>845</v>
      </c>
      <c r="D33" s="166" t="s">
        <v>225</v>
      </c>
      <c r="E33" s="169"/>
      <c r="F33" s="166"/>
      <c r="G33" s="166"/>
      <c r="H33" s="166"/>
      <c r="I33" s="166"/>
      <c r="J33" s="166"/>
      <c r="K33" s="166"/>
    </row>
    <row r="34" spans="1:11" ht="18.75" x14ac:dyDescent="0.3">
      <c r="A34" s="166" t="s">
        <v>399</v>
      </c>
      <c r="B34" s="166" t="s">
        <v>13</v>
      </c>
      <c r="C34" s="166" t="s">
        <v>211</v>
      </c>
      <c r="D34" s="166" t="s">
        <v>54</v>
      </c>
      <c r="E34" s="175"/>
      <c r="F34" s="176"/>
      <c r="G34" s="166"/>
      <c r="H34" s="166"/>
      <c r="I34" s="166"/>
      <c r="J34" s="166"/>
      <c r="K34" s="166"/>
    </row>
    <row r="35" spans="1:11" ht="18.75" x14ac:dyDescent="0.3">
      <c r="A35" s="166" t="s">
        <v>43</v>
      </c>
      <c r="B35" s="166" t="s">
        <v>20</v>
      </c>
      <c r="C35" s="166" t="s">
        <v>810</v>
      </c>
      <c r="D35" s="166" t="s">
        <v>350</v>
      </c>
      <c r="E35" s="169"/>
      <c r="F35" s="166"/>
      <c r="G35" s="166"/>
      <c r="H35" s="166"/>
      <c r="I35" s="166"/>
      <c r="J35" s="166"/>
      <c r="K35" s="166"/>
    </row>
    <row r="36" spans="1:11" ht="18.75" x14ac:dyDescent="0.3">
      <c r="A36" s="166" t="s">
        <v>12</v>
      </c>
      <c r="B36" s="166" t="s">
        <v>13</v>
      </c>
      <c r="C36" s="166" t="s">
        <v>815</v>
      </c>
      <c r="D36" s="166" t="s">
        <v>350</v>
      </c>
      <c r="E36" s="169"/>
      <c r="F36" s="166"/>
      <c r="G36" s="166"/>
      <c r="H36" s="166"/>
      <c r="I36" s="166"/>
      <c r="J36" s="166"/>
      <c r="K36" s="166"/>
    </row>
    <row r="37" spans="1:11" ht="18.75" x14ac:dyDescent="0.3">
      <c r="A37" s="166" t="s">
        <v>43</v>
      </c>
      <c r="B37" s="166" t="s">
        <v>13</v>
      </c>
      <c r="C37" s="166" t="s">
        <v>333</v>
      </c>
      <c r="D37" s="170" t="s">
        <v>350</v>
      </c>
      <c r="E37" s="169"/>
      <c r="F37" s="166"/>
      <c r="G37" s="166"/>
      <c r="H37" s="166"/>
      <c r="I37" s="166"/>
      <c r="J37" s="166"/>
      <c r="K37" s="166"/>
    </row>
    <row r="38" spans="1:11" ht="18.75" x14ac:dyDescent="0.3">
      <c r="A38" s="166" t="s">
        <v>43</v>
      </c>
      <c r="B38" s="166" t="s">
        <v>20</v>
      </c>
      <c r="C38" s="166" t="s">
        <v>839</v>
      </c>
      <c r="D38" s="166" t="s">
        <v>350</v>
      </c>
      <c r="E38" s="169"/>
      <c r="F38" s="166"/>
      <c r="G38" s="166"/>
      <c r="H38" s="166"/>
      <c r="I38" s="166"/>
      <c r="J38" s="166"/>
      <c r="K38" s="166"/>
    </row>
    <row r="39" spans="1:11" ht="18.75" x14ac:dyDescent="0.3">
      <c r="A39" s="166" t="s">
        <v>394</v>
      </c>
      <c r="B39" s="166" t="s">
        <v>20</v>
      </c>
      <c r="C39" s="166" t="s">
        <v>269</v>
      </c>
      <c r="D39" s="170" t="s">
        <v>48</v>
      </c>
      <c r="E39" s="169"/>
      <c r="F39" s="166"/>
      <c r="G39" s="166"/>
      <c r="H39" s="166"/>
      <c r="I39" s="166"/>
      <c r="J39" s="166"/>
      <c r="K39" s="166"/>
    </row>
    <row r="40" spans="1:11" ht="18.75" x14ac:dyDescent="0.3">
      <c r="A40" s="166" t="s">
        <v>399</v>
      </c>
      <c r="B40" s="166" t="s">
        <v>20</v>
      </c>
      <c r="C40" s="166" t="s">
        <v>787</v>
      </c>
      <c r="D40" s="166" t="s">
        <v>48</v>
      </c>
      <c r="E40" s="171"/>
      <c r="F40" s="172"/>
      <c r="G40" s="178"/>
      <c r="H40" s="165"/>
      <c r="I40" s="170"/>
      <c r="J40" s="170"/>
      <c r="K40" s="170"/>
    </row>
    <row r="41" spans="1:11" ht="18.75" x14ac:dyDescent="0.3">
      <c r="A41" s="166" t="s">
        <v>52</v>
      </c>
      <c r="B41" s="166" t="s">
        <v>20</v>
      </c>
      <c r="C41" s="166" t="s">
        <v>53</v>
      </c>
      <c r="D41" s="170" t="s">
        <v>15</v>
      </c>
      <c r="E41" s="171"/>
      <c r="F41" s="172"/>
      <c r="G41" s="166"/>
      <c r="H41" s="166"/>
      <c r="I41" s="166"/>
      <c r="J41" s="166"/>
      <c r="K41" s="166"/>
    </row>
    <row r="42" spans="1:11" ht="18.75" x14ac:dyDescent="0.3">
      <c r="A42" s="166" t="s">
        <v>43</v>
      </c>
      <c r="B42" s="166" t="s">
        <v>20</v>
      </c>
      <c r="C42" s="166" t="s">
        <v>805</v>
      </c>
      <c r="D42" s="170" t="s">
        <v>353</v>
      </c>
      <c r="E42" s="169"/>
      <c r="F42" s="166"/>
      <c r="G42" s="178"/>
      <c r="H42" s="165"/>
      <c r="I42" s="182" t="s">
        <v>354</v>
      </c>
      <c r="J42" s="182" t="s">
        <v>188</v>
      </c>
      <c r="K42" s="182" t="s">
        <v>355</v>
      </c>
    </row>
    <row r="43" spans="1:11" ht="18.75" x14ac:dyDescent="0.3">
      <c r="A43" s="166" t="s">
        <v>394</v>
      </c>
      <c r="B43" s="166" t="s">
        <v>13</v>
      </c>
      <c r="C43" s="166" t="s">
        <v>419</v>
      </c>
      <c r="D43" s="166" t="s">
        <v>353</v>
      </c>
      <c r="E43" s="169"/>
      <c r="F43" s="169"/>
      <c r="G43" s="166"/>
      <c r="H43" s="166"/>
      <c r="I43" s="166"/>
      <c r="J43" s="166"/>
      <c r="K43" s="166"/>
    </row>
    <row r="44" spans="1:11" ht="18.75" x14ac:dyDescent="0.3">
      <c r="A44" s="166" t="s">
        <v>43</v>
      </c>
      <c r="B44" s="166" t="s">
        <v>20</v>
      </c>
      <c r="C44" s="166" t="s">
        <v>842</v>
      </c>
      <c r="D44" s="166" t="s">
        <v>356</v>
      </c>
      <c r="E44" s="169"/>
      <c r="F44" s="166"/>
      <c r="G44" s="166"/>
      <c r="H44" s="166"/>
      <c r="I44" s="166"/>
      <c r="J44" s="166"/>
      <c r="K44" s="166"/>
    </row>
    <row r="45" spans="1:11" ht="18.75" x14ac:dyDescent="0.3">
      <c r="A45" s="166" t="s">
        <v>394</v>
      </c>
      <c r="B45" s="166" t="s">
        <v>20</v>
      </c>
      <c r="C45" s="166" t="s">
        <v>261</v>
      </c>
      <c r="D45" s="177" t="s">
        <v>357</v>
      </c>
      <c r="E45" s="169"/>
      <c r="F45" s="166"/>
      <c r="G45" s="166"/>
      <c r="H45" s="166"/>
      <c r="I45" s="166"/>
      <c r="J45" s="166"/>
      <c r="K45" s="166"/>
    </row>
    <row r="46" spans="1:11" ht="18.75" x14ac:dyDescent="0.3">
      <c r="A46" s="166" t="s">
        <v>25</v>
      </c>
      <c r="B46" s="166" t="s">
        <v>13</v>
      </c>
      <c r="C46" s="166" t="s">
        <v>112</v>
      </c>
      <c r="D46" s="177" t="s">
        <v>357</v>
      </c>
      <c r="E46" s="169"/>
      <c r="F46" s="166"/>
      <c r="G46" s="166"/>
      <c r="H46" s="166"/>
      <c r="I46" s="166"/>
      <c r="J46" s="166"/>
      <c r="K46" s="166"/>
    </row>
    <row r="47" spans="1:11" ht="18.75" x14ac:dyDescent="0.3">
      <c r="A47" s="166" t="s">
        <v>43</v>
      </c>
      <c r="B47" s="166" t="s">
        <v>13</v>
      </c>
      <c r="C47" s="166" t="s">
        <v>311</v>
      </c>
      <c r="D47" s="166" t="s">
        <v>359</v>
      </c>
      <c r="E47" s="171"/>
      <c r="F47" s="172"/>
      <c r="G47" s="166"/>
      <c r="H47" s="166"/>
      <c r="I47" s="166"/>
      <c r="J47" s="166"/>
      <c r="K47" s="166"/>
    </row>
    <row r="48" spans="1:11" ht="18.75" x14ac:dyDescent="0.3">
      <c r="A48" s="166" t="s">
        <v>43</v>
      </c>
      <c r="B48" s="166" t="s">
        <v>13</v>
      </c>
      <c r="C48" s="166" t="s">
        <v>316</v>
      </c>
      <c r="D48" s="166" t="s">
        <v>249</v>
      </c>
      <c r="E48" s="169"/>
      <c r="F48" s="166"/>
      <c r="G48" s="166"/>
      <c r="H48" s="166"/>
      <c r="I48" s="166"/>
      <c r="J48" s="166"/>
      <c r="K48" s="166"/>
    </row>
    <row r="49" spans="1:11" ht="18.75" x14ac:dyDescent="0.3">
      <c r="A49" s="166" t="s">
        <v>12</v>
      </c>
      <c r="B49" s="166" t="s">
        <v>20</v>
      </c>
      <c r="C49" s="166" t="s">
        <v>30</v>
      </c>
      <c r="D49" s="166" t="s">
        <v>249</v>
      </c>
      <c r="E49" s="169"/>
      <c r="F49" s="166"/>
      <c r="G49" s="174"/>
      <c r="H49" s="166"/>
      <c r="I49" s="166"/>
      <c r="J49" s="166"/>
      <c r="K49" s="166"/>
    </row>
    <row r="50" spans="1:11" ht="18.75" x14ac:dyDescent="0.3">
      <c r="A50" s="166" t="s">
        <v>12</v>
      </c>
      <c r="B50" s="166" t="s">
        <v>13</v>
      </c>
      <c r="C50" s="166" t="s">
        <v>841</v>
      </c>
      <c r="D50" s="166" t="s">
        <v>249</v>
      </c>
      <c r="E50" s="169"/>
      <c r="F50" s="166"/>
      <c r="G50" s="166"/>
      <c r="H50" s="166"/>
      <c r="I50" s="166"/>
      <c r="J50" s="166"/>
      <c r="K50" s="166"/>
    </row>
    <row r="51" spans="1:11" ht="18.75" x14ac:dyDescent="0.3">
      <c r="A51" s="166" t="s">
        <v>43</v>
      </c>
      <c r="B51" s="166" t="s">
        <v>13</v>
      </c>
      <c r="C51" s="166" t="s">
        <v>802</v>
      </c>
      <c r="D51" s="170" t="s">
        <v>95</v>
      </c>
      <c r="E51" s="169"/>
      <c r="F51" s="166"/>
      <c r="G51" s="166"/>
      <c r="H51" s="166"/>
      <c r="I51" s="181" t="s">
        <v>363</v>
      </c>
      <c r="J51" s="181" t="s">
        <v>88</v>
      </c>
      <c r="K51" s="181" t="s">
        <v>355</v>
      </c>
    </row>
    <row r="52" spans="1:11" ht="18.75" x14ac:dyDescent="0.3">
      <c r="A52" s="166" t="s">
        <v>394</v>
      </c>
      <c r="B52" s="166" t="s">
        <v>20</v>
      </c>
      <c r="C52" s="166" t="s">
        <v>153</v>
      </c>
      <c r="D52" s="166" t="s">
        <v>95</v>
      </c>
      <c r="E52" s="169"/>
      <c r="F52" s="166"/>
      <c r="G52" s="166"/>
      <c r="H52" s="166"/>
      <c r="I52" s="166"/>
      <c r="J52" s="166"/>
      <c r="K52" s="166"/>
    </row>
    <row r="53" spans="1:11" ht="18.75" x14ac:dyDescent="0.3">
      <c r="A53" s="166" t="s">
        <v>394</v>
      </c>
      <c r="B53" s="166" t="s">
        <v>20</v>
      </c>
      <c r="C53" s="166" t="s">
        <v>168</v>
      </c>
      <c r="D53" s="170" t="s">
        <v>95</v>
      </c>
      <c r="E53" s="169"/>
      <c r="F53" s="166"/>
      <c r="G53" s="179"/>
      <c r="H53" s="168"/>
      <c r="I53" s="170"/>
      <c r="J53" s="170"/>
      <c r="K53" s="170"/>
    </row>
    <row r="54" spans="1:11" ht="18.75" x14ac:dyDescent="0.3">
      <c r="A54" s="166" t="s">
        <v>43</v>
      </c>
      <c r="B54" s="166" t="s">
        <v>13</v>
      </c>
      <c r="C54" s="166" t="s">
        <v>794</v>
      </c>
      <c r="D54" s="170" t="s">
        <v>169</v>
      </c>
      <c r="E54" s="169"/>
      <c r="F54" s="166"/>
      <c r="G54" s="166"/>
      <c r="H54" s="166"/>
      <c r="I54" s="166"/>
      <c r="J54" s="166"/>
      <c r="K54" s="166"/>
    </row>
    <row r="55" spans="1:11" ht="18.75" x14ac:dyDescent="0.3">
      <c r="A55" s="166" t="s">
        <v>25</v>
      </c>
      <c r="B55" s="166" t="s">
        <v>20</v>
      </c>
      <c r="C55" s="166" t="s">
        <v>817</v>
      </c>
      <c r="D55" s="166" t="s">
        <v>169</v>
      </c>
      <c r="E55" s="169"/>
      <c r="F55" s="166"/>
      <c r="G55" s="166"/>
      <c r="H55" s="166"/>
      <c r="I55" s="166"/>
      <c r="J55" s="166"/>
      <c r="K55" s="166"/>
    </row>
    <row r="56" spans="1:11" ht="18.75" x14ac:dyDescent="0.3">
      <c r="A56" s="166" t="s">
        <v>43</v>
      </c>
      <c r="B56" s="166" t="s">
        <v>20</v>
      </c>
      <c r="C56" s="166" t="s">
        <v>186</v>
      </c>
      <c r="D56" s="166" t="s">
        <v>364</v>
      </c>
      <c r="E56" s="169"/>
      <c r="F56" s="166"/>
      <c r="G56" s="166"/>
      <c r="H56" s="166"/>
      <c r="I56" s="166"/>
      <c r="J56" s="166"/>
      <c r="K56" s="166"/>
    </row>
    <row r="57" spans="1:11" ht="18.75" x14ac:dyDescent="0.3">
      <c r="A57" s="166" t="s">
        <v>43</v>
      </c>
      <c r="B57" s="166" t="s">
        <v>20</v>
      </c>
      <c r="C57" s="166" t="s">
        <v>796</v>
      </c>
      <c r="D57" s="166" t="s">
        <v>78</v>
      </c>
      <c r="E57" s="169"/>
      <c r="F57" s="169"/>
      <c r="G57" s="166"/>
      <c r="H57" s="166"/>
      <c r="I57" s="181" t="s">
        <v>87</v>
      </c>
      <c r="J57" s="181" t="s">
        <v>88</v>
      </c>
      <c r="K57" s="181" t="s">
        <v>175</v>
      </c>
    </row>
    <row r="58" spans="1:11" ht="18.75" x14ac:dyDescent="0.3">
      <c r="A58" s="166" t="s">
        <v>12</v>
      </c>
      <c r="B58" s="166" t="s">
        <v>20</v>
      </c>
      <c r="C58" s="166" t="s">
        <v>824</v>
      </c>
      <c r="D58" s="166" t="s">
        <v>78</v>
      </c>
      <c r="E58" s="169"/>
      <c r="F58" s="166"/>
      <c r="G58" s="166"/>
      <c r="H58" s="166"/>
      <c r="I58" s="166"/>
      <c r="J58" s="166"/>
      <c r="K58" s="166"/>
    </row>
    <row r="59" spans="1:11" ht="18.75" x14ac:dyDescent="0.3">
      <c r="A59" s="166" t="s">
        <v>12</v>
      </c>
      <c r="B59" s="166" t="s">
        <v>13</v>
      </c>
      <c r="C59" s="166" t="s">
        <v>38</v>
      </c>
      <c r="D59" s="166" t="s">
        <v>78</v>
      </c>
      <c r="E59" s="169"/>
      <c r="F59" s="166"/>
      <c r="G59" s="166"/>
      <c r="H59" s="166"/>
      <c r="I59" s="166"/>
      <c r="J59" s="166"/>
      <c r="K59" s="166"/>
    </row>
    <row r="60" spans="1:11" ht="18.75" x14ac:dyDescent="0.3">
      <c r="A60" s="166" t="s">
        <v>25</v>
      </c>
      <c r="B60" s="166" t="s">
        <v>13</v>
      </c>
      <c r="C60" s="166" t="s">
        <v>326</v>
      </c>
      <c r="D60" s="166" t="s">
        <v>78</v>
      </c>
      <c r="E60" s="169"/>
      <c r="F60" s="166"/>
      <c r="G60" s="166"/>
      <c r="H60" s="166"/>
      <c r="I60" s="166"/>
      <c r="J60" s="166"/>
      <c r="K60" s="166"/>
    </row>
    <row r="61" spans="1:11" ht="18.75" x14ac:dyDescent="0.3">
      <c r="A61" s="166" t="s">
        <v>43</v>
      </c>
      <c r="B61" s="166" t="s">
        <v>13</v>
      </c>
      <c r="C61" s="166" t="s">
        <v>365</v>
      </c>
      <c r="D61" s="166" t="s">
        <v>324</v>
      </c>
      <c r="E61" s="169"/>
      <c r="F61" s="166"/>
      <c r="G61" s="166"/>
      <c r="H61" s="166"/>
      <c r="I61" s="166"/>
      <c r="J61" s="166"/>
      <c r="K61" s="166"/>
    </row>
    <row r="62" spans="1:11" ht="18.75" x14ac:dyDescent="0.3">
      <c r="A62" s="166" t="s">
        <v>43</v>
      </c>
      <c r="B62" s="166" t="s">
        <v>13</v>
      </c>
      <c r="C62" s="166" t="s">
        <v>193</v>
      </c>
      <c r="D62" s="166" t="s">
        <v>263</v>
      </c>
      <c r="E62" s="169"/>
      <c r="F62" s="166"/>
      <c r="G62" s="166"/>
      <c r="H62" s="166"/>
      <c r="I62" s="166"/>
      <c r="J62" s="166"/>
      <c r="K62" s="166"/>
    </row>
    <row r="63" spans="1:11" ht="18.75" x14ac:dyDescent="0.3">
      <c r="A63" s="166" t="s">
        <v>43</v>
      </c>
      <c r="B63" s="166" t="s">
        <v>20</v>
      </c>
      <c r="C63" s="166" t="s">
        <v>165</v>
      </c>
      <c r="D63" s="166" t="s">
        <v>263</v>
      </c>
      <c r="E63" s="169"/>
      <c r="F63" s="166"/>
      <c r="G63" s="166"/>
      <c r="H63" s="166"/>
      <c r="I63" s="166"/>
      <c r="J63" s="166"/>
      <c r="K63" s="166"/>
    </row>
    <row r="64" spans="1:11" ht="18.75" x14ac:dyDescent="0.3">
      <c r="A64" s="166" t="s">
        <v>394</v>
      </c>
      <c r="B64" s="166" t="s">
        <v>13</v>
      </c>
      <c r="C64" s="166" t="s">
        <v>218</v>
      </c>
      <c r="D64" s="166" t="s">
        <v>263</v>
      </c>
      <c r="E64" s="169"/>
      <c r="F64" s="166"/>
      <c r="G64" s="166"/>
      <c r="H64" s="166"/>
      <c r="I64" s="166"/>
      <c r="J64" s="166"/>
      <c r="K64" s="166"/>
    </row>
    <row r="65" spans="1:11" ht="18.75" x14ac:dyDescent="0.3">
      <c r="A65" s="166" t="s">
        <v>25</v>
      </c>
      <c r="B65" s="166" t="s">
        <v>20</v>
      </c>
      <c r="C65" s="166" t="s">
        <v>290</v>
      </c>
      <c r="D65" s="166" t="s">
        <v>263</v>
      </c>
      <c r="E65" s="169"/>
      <c r="F65" s="166"/>
      <c r="G65" s="166"/>
      <c r="H65" s="166"/>
      <c r="I65" s="166"/>
      <c r="J65" s="166"/>
      <c r="K65" s="166"/>
    </row>
    <row r="66" spans="1:11" customFormat="1" hidden="1" x14ac:dyDescent="0.25">
      <c r="A66" s="137" t="s">
        <v>25</v>
      </c>
      <c r="B66" s="137"/>
      <c r="C66" s="137" t="s">
        <v>775</v>
      </c>
      <c r="D66" s="137"/>
      <c r="E66" s="144"/>
      <c r="F66" s="137"/>
      <c r="G66" s="137"/>
      <c r="H66" s="137"/>
      <c r="I66" s="137"/>
      <c r="J66" s="137"/>
      <c r="K66" s="137"/>
    </row>
    <row r="67" spans="1:11" ht="18.75" x14ac:dyDescent="0.3">
      <c r="A67" s="166" t="s">
        <v>399</v>
      </c>
      <c r="B67" s="166" t="s">
        <v>20</v>
      </c>
      <c r="C67" s="166" t="s">
        <v>366</v>
      </c>
      <c r="D67" s="170" t="s">
        <v>367</v>
      </c>
      <c r="E67" s="169"/>
      <c r="F67" s="166"/>
      <c r="G67" s="166"/>
      <c r="H67" s="166"/>
      <c r="I67" s="181"/>
      <c r="J67" s="181" t="s">
        <v>268</v>
      </c>
      <c r="K67" s="181" t="s">
        <v>342</v>
      </c>
    </row>
    <row r="68" spans="1:11" ht="18.75" x14ac:dyDescent="0.3">
      <c r="A68" s="166" t="s">
        <v>43</v>
      </c>
      <c r="B68" s="166" t="s">
        <v>13</v>
      </c>
      <c r="C68" s="166" t="s">
        <v>368</v>
      </c>
      <c r="D68" s="166" t="s">
        <v>367</v>
      </c>
      <c r="E68" s="169"/>
      <c r="F68" s="166"/>
      <c r="G68" s="166"/>
      <c r="H68" s="166"/>
      <c r="I68" s="166"/>
      <c r="J68" s="166"/>
      <c r="K68" s="166"/>
    </row>
    <row r="69" spans="1:11" ht="18.75" x14ac:dyDescent="0.3">
      <c r="A69" s="166" t="s">
        <v>394</v>
      </c>
      <c r="B69" s="166" t="s">
        <v>20</v>
      </c>
      <c r="C69" s="166" t="s">
        <v>793</v>
      </c>
      <c r="D69" s="170" t="s">
        <v>233</v>
      </c>
      <c r="E69" s="169"/>
      <c r="F69" s="166"/>
      <c r="G69" s="166"/>
      <c r="H69" s="166"/>
      <c r="I69" s="166"/>
      <c r="J69" s="166"/>
      <c r="K69" s="166"/>
    </row>
    <row r="70" spans="1:11" ht="18.75" x14ac:dyDescent="0.3">
      <c r="A70" s="166" t="s">
        <v>43</v>
      </c>
      <c r="B70" s="166" t="s">
        <v>13</v>
      </c>
      <c r="C70" s="166" t="s">
        <v>830</v>
      </c>
      <c r="D70" s="166" t="s">
        <v>233</v>
      </c>
      <c r="E70" s="175"/>
      <c r="F70" s="176"/>
      <c r="G70" s="166"/>
      <c r="H70" s="166"/>
      <c r="I70" s="166"/>
      <c r="J70" s="166"/>
      <c r="K70" s="166"/>
    </row>
    <row r="71" spans="1:11" ht="18.75" x14ac:dyDescent="0.3">
      <c r="A71" s="166" t="s">
        <v>394</v>
      </c>
      <c r="B71" s="166" t="s">
        <v>20</v>
      </c>
      <c r="C71" s="166" t="s">
        <v>215</v>
      </c>
      <c r="D71" s="166" t="s">
        <v>369</v>
      </c>
      <c r="E71" s="169"/>
      <c r="F71" s="166"/>
      <c r="G71" s="166"/>
      <c r="H71" s="166"/>
      <c r="I71" s="166"/>
      <c r="J71" s="166"/>
      <c r="K71" s="166"/>
    </row>
    <row r="72" spans="1:11" ht="18.75" x14ac:dyDescent="0.3">
      <c r="A72" s="166" t="s">
        <v>52</v>
      </c>
      <c r="B72" s="166" t="s">
        <v>13</v>
      </c>
      <c r="C72" s="166" t="s">
        <v>789</v>
      </c>
      <c r="D72" s="166" t="s">
        <v>314</v>
      </c>
      <c r="E72" s="169"/>
      <c r="F72" s="166"/>
      <c r="G72" s="166"/>
      <c r="H72" s="166"/>
      <c r="I72" s="181" t="s">
        <v>28</v>
      </c>
      <c r="J72" s="181" t="s">
        <v>370</v>
      </c>
      <c r="K72" s="181" t="s">
        <v>29</v>
      </c>
    </row>
    <row r="73" spans="1:11" ht="18.75" x14ac:dyDescent="0.3">
      <c r="A73" s="166" t="s">
        <v>399</v>
      </c>
      <c r="B73" s="166" t="s">
        <v>20</v>
      </c>
      <c r="C73" s="166" t="s">
        <v>127</v>
      </c>
      <c r="D73" s="166" t="s">
        <v>314</v>
      </c>
      <c r="E73" s="169"/>
      <c r="F73" s="166"/>
      <c r="G73" s="166"/>
      <c r="H73" s="166"/>
      <c r="I73" s="166"/>
      <c r="J73" s="166"/>
      <c r="K73" s="166"/>
    </row>
    <row r="74" spans="1:11" ht="18.75" x14ac:dyDescent="0.3">
      <c r="A74" s="166" t="s">
        <v>399</v>
      </c>
      <c r="B74" s="166" t="s">
        <v>20</v>
      </c>
      <c r="C74" s="166" t="s">
        <v>277</v>
      </c>
      <c r="D74" s="170" t="s">
        <v>371</v>
      </c>
      <c r="E74" s="171"/>
      <c r="F74" s="172"/>
      <c r="G74" s="178"/>
      <c r="H74" s="165"/>
      <c r="I74" s="182" t="s">
        <v>40</v>
      </c>
      <c r="J74" s="182" t="s">
        <v>37</v>
      </c>
      <c r="K74" s="182" t="s">
        <v>128</v>
      </c>
    </row>
    <row r="75" spans="1:11" ht="18.75" x14ac:dyDescent="0.3">
      <c r="A75" s="166" t="s">
        <v>52</v>
      </c>
      <c r="B75" s="166" t="s">
        <v>20</v>
      </c>
      <c r="C75" s="166" t="s">
        <v>172</v>
      </c>
      <c r="D75" s="166" t="s">
        <v>371</v>
      </c>
      <c r="E75" s="169"/>
      <c r="F75" s="166"/>
      <c r="G75" s="166"/>
      <c r="H75" s="166"/>
      <c r="I75" s="166"/>
      <c r="J75" s="166"/>
      <c r="K75" s="166"/>
    </row>
    <row r="76" spans="1:11" ht="18.75" x14ac:dyDescent="0.3">
      <c r="A76" s="166" t="s">
        <v>43</v>
      </c>
      <c r="B76" s="166" t="s">
        <v>13</v>
      </c>
      <c r="C76" s="166" t="s">
        <v>808</v>
      </c>
      <c r="D76" s="166" t="s">
        <v>99</v>
      </c>
      <c r="E76" s="175"/>
      <c r="F76" s="176"/>
      <c r="G76" s="166"/>
      <c r="H76" s="166"/>
      <c r="I76" s="181" t="s">
        <v>372</v>
      </c>
      <c r="J76" s="181" t="s">
        <v>80</v>
      </c>
      <c r="K76" s="181" t="s">
        <v>81</v>
      </c>
    </row>
    <row r="77" spans="1:11" ht="18.75" x14ac:dyDescent="0.3">
      <c r="A77" s="166" t="s">
        <v>52</v>
      </c>
      <c r="B77" s="166" t="s">
        <v>20</v>
      </c>
      <c r="C77" s="166" t="s">
        <v>786</v>
      </c>
      <c r="D77" s="166" t="s">
        <v>99</v>
      </c>
      <c r="E77" s="171"/>
      <c r="F77" s="172"/>
      <c r="G77" s="178"/>
      <c r="H77" s="165"/>
      <c r="I77" s="170"/>
      <c r="J77" s="170"/>
      <c r="K77" s="170"/>
    </row>
    <row r="78" spans="1:11" customFormat="1" hidden="1" x14ac:dyDescent="0.25">
      <c r="A78" s="136" t="s">
        <v>394</v>
      </c>
      <c r="B78" s="136"/>
      <c r="C78" s="137" t="s">
        <v>275</v>
      </c>
      <c r="D78" s="137"/>
      <c r="E78" s="144"/>
      <c r="F78" s="137"/>
      <c r="G78" s="137"/>
      <c r="H78" s="137"/>
      <c r="I78" s="137"/>
      <c r="J78" s="137"/>
      <c r="K78" s="137"/>
    </row>
    <row r="79" spans="1:11" ht="18.75" x14ac:dyDescent="0.3">
      <c r="A79" s="166" t="s">
        <v>43</v>
      </c>
      <c r="B79" s="166" t="s">
        <v>20</v>
      </c>
      <c r="C79" s="166" t="s">
        <v>812</v>
      </c>
      <c r="D79" s="166" t="s">
        <v>373</v>
      </c>
      <c r="E79" s="169"/>
      <c r="F79" s="166"/>
      <c r="G79" s="166"/>
      <c r="H79" s="166"/>
      <c r="I79" s="166"/>
      <c r="J79" s="166"/>
      <c r="K79" s="166"/>
    </row>
    <row r="80" spans="1:11" ht="18.75" x14ac:dyDescent="0.3">
      <c r="A80" s="166" t="s">
        <v>43</v>
      </c>
      <c r="B80" s="166" t="s">
        <v>20</v>
      </c>
      <c r="C80" s="166" t="s">
        <v>811</v>
      </c>
      <c r="D80" s="166" t="s">
        <v>117</v>
      </c>
      <c r="E80" s="169"/>
      <c r="F80" s="166"/>
      <c r="G80" s="166"/>
      <c r="H80" s="166"/>
      <c r="I80" s="181" t="s">
        <v>299</v>
      </c>
      <c r="J80" s="181" t="s">
        <v>374</v>
      </c>
      <c r="K80" s="181" t="s">
        <v>375</v>
      </c>
    </row>
    <row r="81" spans="1:11" customFormat="1" hidden="1" x14ac:dyDescent="0.25">
      <c r="A81" s="137" t="s">
        <v>12</v>
      </c>
      <c r="B81" s="137"/>
      <c r="C81" s="137" t="s">
        <v>260</v>
      </c>
      <c r="D81" s="138"/>
      <c r="E81" s="140"/>
      <c r="F81" s="141"/>
      <c r="G81" s="145"/>
      <c r="H81" s="145"/>
      <c r="I81" s="138"/>
      <c r="J81" s="138"/>
      <c r="K81" s="138"/>
    </row>
    <row r="82" spans="1:11" customFormat="1" hidden="1" x14ac:dyDescent="0.25">
      <c r="A82" s="137" t="s">
        <v>52</v>
      </c>
      <c r="B82" s="137"/>
      <c r="C82" s="137" t="s">
        <v>376</v>
      </c>
      <c r="D82" s="138"/>
      <c r="E82" s="140"/>
      <c r="F82" s="141"/>
      <c r="G82" s="145"/>
      <c r="H82" s="136"/>
      <c r="I82" s="138"/>
      <c r="J82" s="138"/>
      <c r="K82" s="138"/>
    </row>
    <row r="83" spans="1:11" ht="18.75" x14ac:dyDescent="0.3">
      <c r="A83" s="166" t="s">
        <v>394</v>
      </c>
      <c r="B83" s="166" t="s">
        <v>20</v>
      </c>
      <c r="C83" s="166" t="s">
        <v>67</v>
      </c>
      <c r="D83" s="166" t="s">
        <v>120</v>
      </c>
      <c r="E83" s="169"/>
      <c r="F83" s="166"/>
      <c r="G83" s="166"/>
      <c r="H83" s="166"/>
      <c r="I83" s="166"/>
      <c r="J83" s="166"/>
      <c r="K83" s="166"/>
    </row>
    <row r="84" spans="1:11" ht="14.25" customHeight="1" x14ac:dyDescent="0.3">
      <c r="A84" s="166" t="s">
        <v>394</v>
      </c>
      <c r="B84" s="166" t="s">
        <v>20</v>
      </c>
      <c r="C84" s="166" t="s">
        <v>831</v>
      </c>
      <c r="D84" s="166" t="s">
        <v>377</v>
      </c>
      <c r="E84" s="169"/>
      <c r="F84" s="166"/>
      <c r="G84" s="166"/>
      <c r="H84" s="166"/>
      <c r="I84" s="166"/>
      <c r="J84" s="166"/>
      <c r="K84" s="166"/>
    </row>
    <row r="85" spans="1:11" ht="18.75" x14ac:dyDescent="0.3">
      <c r="A85" s="166" t="s">
        <v>52</v>
      </c>
      <c r="B85" s="166" t="s">
        <v>20</v>
      </c>
      <c r="C85" s="166" t="s">
        <v>828</v>
      </c>
      <c r="D85" s="166" t="s">
        <v>262</v>
      </c>
      <c r="E85" s="169"/>
      <c r="F85" s="166"/>
      <c r="G85" s="174"/>
      <c r="H85" s="166"/>
      <c r="I85" s="166"/>
      <c r="J85" s="166"/>
      <c r="K85" s="166"/>
    </row>
    <row r="86" spans="1:11" ht="18.75" x14ac:dyDescent="0.3">
      <c r="A86" s="165" t="s">
        <v>12</v>
      </c>
      <c r="B86" s="166" t="s">
        <v>13</v>
      </c>
      <c r="C86" s="166" t="s">
        <v>251</v>
      </c>
      <c r="D86" s="166"/>
      <c r="E86" s="171"/>
      <c r="F86" s="172"/>
      <c r="G86" s="178"/>
      <c r="H86" s="165"/>
      <c r="I86" s="170"/>
      <c r="J86" s="170"/>
      <c r="K86" s="170"/>
    </row>
    <row r="87" spans="1:11" ht="18.75" x14ac:dyDescent="0.3">
      <c r="A87" s="165" t="s">
        <v>12</v>
      </c>
      <c r="B87" s="165" t="s">
        <v>13</v>
      </c>
      <c r="C87" s="165" t="s">
        <v>140</v>
      </c>
      <c r="D87" s="166"/>
      <c r="E87" s="169"/>
      <c r="F87" s="166"/>
      <c r="G87" s="166"/>
      <c r="H87" s="166"/>
      <c r="I87" s="166"/>
      <c r="J87" s="166"/>
      <c r="K87" s="166"/>
    </row>
    <row r="88" spans="1:11" ht="18.75" x14ac:dyDescent="0.3">
      <c r="A88" s="166" t="s">
        <v>52</v>
      </c>
      <c r="B88" s="166" t="s">
        <v>13</v>
      </c>
      <c r="C88" s="166" t="s">
        <v>242</v>
      </c>
      <c r="D88" s="166"/>
      <c r="E88" s="169"/>
      <c r="F88" s="166"/>
      <c r="G88" s="166"/>
      <c r="H88" s="166"/>
      <c r="I88" s="170"/>
      <c r="J88" s="170"/>
      <c r="K88" s="170"/>
    </row>
    <row r="89" spans="1:11" ht="18.75" x14ac:dyDescent="0.3">
      <c r="A89" s="165" t="s">
        <v>12</v>
      </c>
      <c r="B89" s="166" t="s">
        <v>20</v>
      </c>
      <c r="C89" s="166" t="s">
        <v>791</v>
      </c>
      <c r="D89" s="166"/>
      <c r="E89" s="169"/>
      <c r="F89" s="166"/>
      <c r="G89" s="166"/>
      <c r="H89" s="166"/>
      <c r="I89" s="166"/>
      <c r="J89" s="166"/>
      <c r="K89" s="166"/>
    </row>
    <row r="90" spans="1:11" ht="18.75" x14ac:dyDescent="0.3">
      <c r="A90" s="166" t="s">
        <v>394</v>
      </c>
      <c r="B90" s="166" t="s">
        <v>13</v>
      </c>
      <c r="C90" s="166" t="s">
        <v>378</v>
      </c>
      <c r="D90" s="166"/>
      <c r="E90" s="169"/>
      <c r="F90" s="166"/>
      <c r="G90" s="166"/>
      <c r="H90" s="166"/>
      <c r="I90" s="166"/>
      <c r="J90" s="166"/>
      <c r="K90" s="166"/>
    </row>
    <row r="91" spans="1:11" ht="18.75" x14ac:dyDescent="0.3">
      <c r="A91" s="166" t="s">
        <v>25</v>
      </c>
      <c r="B91" s="166" t="s">
        <v>13</v>
      </c>
      <c r="C91" s="166" t="s">
        <v>253</v>
      </c>
      <c r="D91" s="166"/>
      <c r="E91" s="169"/>
      <c r="F91" s="166"/>
      <c r="G91" s="166"/>
      <c r="H91" s="166"/>
      <c r="I91" s="166"/>
      <c r="J91" s="166"/>
      <c r="K91" s="166"/>
    </row>
    <row r="92" spans="1:11" ht="18.75" x14ac:dyDescent="0.3">
      <c r="A92" s="166" t="s">
        <v>394</v>
      </c>
      <c r="B92" s="166" t="s">
        <v>20</v>
      </c>
      <c r="C92" s="166" t="s">
        <v>283</v>
      </c>
      <c r="D92" s="170"/>
      <c r="E92" s="171"/>
      <c r="F92" s="171"/>
      <c r="G92" s="178"/>
      <c r="H92" s="165"/>
      <c r="I92" s="170"/>
      <c r="J92" s="170"/>
      <c r="K92" s="170"/>
    </row>
    <row r="93" spans="1:11" ht="18.75" x14ac:dyDescent="0.3">
      <c r="A93" s="166" t="s">
        <v>25</v>
      </c>
      <c r="B93" s="165" t="s">
        <v>13</v>
      </c>
      <c r="C93" s="166" t="s">
        <v>379</v>
      </c>
      <c r="D93" s="170"/>
      <c r="E93" s="171"/>
      <c r="F93" s="172"/>
      <c r="G93" s="178"/>
      <c r="H93" s="165"/>
      <c r="I93" s="170"/>
      <c r="J93" s="170"/>
      <c r="K93" s="170"/>
    </row>
    <row r="94" spans="1:11" ht="18.75" x14ac:dyDescent="0.3">
      <c r="A94" s="166" t="s">
        <v>25</v>
      </c>
      <c r="B94" s="166" t="s">
        <v>20</v>
      </c>
      <c r="C94" s="166" t="s">
        <v>309</v>
      </c>
      <c r="D94" s="166"/>
      <c r="E94" s="171"/>
      <c r="F94" s="172"/>
      <c r="G94" s="178"/>
      <c r="H94" s="166"/>
      <c r="I94" s="166"/>
      <c r="J94" s="166"/>
      <c r="K94" s="166"/>
    </row>
    <row r="95" spans="1:11" ht="18.75" x14ac:dyDescent="0.3">
      <c r="A95" s="166" t="s">
        <v>25</v>
      </c>
      <c r="B95" s="166" t="s">
        <v>13</v>
      </c>
      <c r="C95" s="166" t="s">
        <v>380</v>
      </c>
      <c r="D95" s="170"/>
      <c r="E95" s="171"/>
      <c r="F95" s="172"/>
      <c r="G95" s="178"/>
      <c r="H95" s="165"/>
      <c r="I95" s="170"/>
      <c r="J95" s="170"/>
      <c r="K95" s="170"/>
    </row>
    <row r="96" spans="1:11" ht="18.75" x14ac:dyDescent="0.3">
      <c r="A96" s="166" t="s">
        <v>43</v>
      </c>
      <c r="B96" s="166" t="s">
        <v>13</v>
      </c>
      <c r="C96" s="166" t="s">
        <v>807</v>
      </c>
      <c r="D96" s="166"/>
      <c r="E96" s="169"/>
      <c r="F96" s="166"/>
      <c r="G96" s="166"/>
      <c r="H96" s="166"/>
      <c r="I96" s="166"/>
      <c r="J96" s="166"/>
      <c r="K96" s="166"/>
    </row>
    <row r="97" spans="1:11" ht="18.75" x14ac:dyDescent="0.3">
      <c r="A97" s="166" t="s">
        <v>25</v>
      </c>
      <c r="B97" s="166" t="s">
        <v>20</v>
      </c>
      <c r="C97" s="166" t="s">
        <v>806</v>
      </c>
      <c r="D97" s="170"/>
      <c r="E97" s="171"/>
      <c r="F97" s="172"/>
      <c r="G97" s="178"/>
      <c r="H97" s="165"/>
      <c r="I97" s="170"/>
      <c r="J97" s="170"/>
      <c r="K97" s="170"/>
    </row>
    <row r="98" spans="1:11" ht="18.75" x14ac:dyDescent="0.3">
      <c r="A98" s="166" t="s">
        <v>394</v>
      </c>
      <c r="B98" s="166" t="s">
        <v>13</v>
      </c>
      <c r="C98" s="166" t="s">
        <v>381</v>
      </c>
      <c r="D98" s="166"/>
      <c r="E98" s="169"/>
      <c r="F98" s="166"/>
      <c r="G98" s="166"/>
      <c r="H98" s="166"/>
      <c r="I98" s="166"/>
      <c r="J98" s="166"/>
      <c r="K98" s="166"/>
    </row>
    <row r="99" spans="1:11" ht="18.75" x14ac:dyDescent="0.3">
      <c r="A99" s="166" t="s">
        <v>12</v>
      </c>
      <c r="B99" s="166" t="s">
        <v>13</v>
      </c>
      <c r="C99" s="166" t="s">
        <v>813</v>
      </c>
      <c r="D99" s="166"/>
      <c r="E99" s="169"/>
      <c r="F99" s="166"/>
      <c r="G99" s="166"/>
      <c r="H99" s="166"/>
      <c r="I99" s="166"/>
      <c r="J99" s="166"/>
      <c r="K99" s="166"/>
    </row>
    <row r="100" spans="1:11" ht="18.75" x14ac:dyDescent="0.3">
      <c r="A100" s="165" t="s">
        <v>12</v>
      </c>
      <c r="B100" s="166" t="s">
        <v>13</v>
      </c>
      <c r="C100" s="166" t="s">
        <v>195</v>
      </c>
      <c r="D100" s="166"/>
      <c r="E100" s="169"/>
      <c r="F100" s="166"/>
      <c r="G100" s="174"/>
      <c r="H100" s="166"/>
      <c r="I100" s="166"/>
      <c r="J100" s="166"/>
      <c r="K100" s="166"/>
    </row>
    <row r="101" spans="1:11" ht="18.75" x14ac:dyDescent="0.3">
      <c r="A101" s="166" t="s">
        <v>394</v>
      </c>
      <c r="B101" s="166" t="s">
        <v>13</v>
      </c>
      <c r="C101" s="166" t="s">
        <v>818</v>
      </c>
      <c r="D101" s="166"/>
      <c r="E101" s="169"/>
      <c r="F101" s="166"/>
      <c r="G101" s="166"/>
      <c r="H101" s="166"/>
      <c r="I101" s="166"/>
      <c r="J101" s="166"/>
      <c r="K101" s="166"/>
    </row>
    <row r="102" spans="1:11" ht="18.75" x14ac:dyDescent="0.3">
      <c r="A102" s="166" t="s">
        <v>43</v>
      </c>
      <c r="B102" s="166" t="s">
        <v>20</v>
      </c>
      <c r="C102" s="166" t="s">
        <v>819</v>
      </c>
      <c r="D102" s="166"/>
      <c r="E102" s="169"/>
      <c r="F102" s="166"/>
      <c r="G102" s="166"/>
      <c r="H102" s="166"/>
      <c r="I102" s="166"/>
      <c r="J102" s="166"/>
      <c r="K102" s="166"/>
    </row>
    <row r="103" spans="1:11" ht="18.75" x14ac:dyDescent="0.3">
      <c r="A103" s="166" t="s">
        <v>394</v>
      </c>
      <c r="B103" s="166" t="s">
        <v>13</v>
      </c>
      <c r="C103" s="166" t="s">
        <v>820</v>
      </c>
      <c r="D103" s="166"/>
      <c r="E103" s="169"/>
      <c r="F103" s="166"/>
      <c r="G103" s="166"/>
      <c r="H103" s="166"/>
      <c r="I103" s="166"/>
      <c r="J103" s="166"/>
      <c r="K103" s="166"/>
    </row>
    <row r="104" spans="1:11" ht="18.75" x14ac:dyDescent="0.3">
      <c r="A104" s="166" t="s">
        <v>12</v>
      </c>
      <c r="B104" s="166" t="s">
        <v>20</v>
      </c>
      <c r="C104" s="166" t="s">
        <v>822</v>
      </c>
      <c r="D104" s="166"/>
      <c r="E104" s="169"/>
      <c r="F104" s="166"/>
      <c r="G104" s="166"/>
      <c r="H104" s="166"/>
      <c r="I104" s="166"/>
      <c r="J104" s="166"/>
      <c r="K104" s="166"/>
    </row>
    <row r="105" spans="1:11" ht="18.75" hidden="1" x14ac:dyDescent="0.3">
      <c r="A105" s="166" t="s">
        <v>399</v>
      </c>
      <c r="B105" s="166" t="s">
        <v>20</v>
      </c>
      <c r="C105" s="166" t="s">
        <v>829</v>
      </c>
      <c r="D105" s="170"/>
      <c r="E105" s="171"/>
      <c r="F105" s="172"/>
      <c r="G105" s="178"/>
      <c r="H105" s="165"/>
      <c r="I105" s="170"/>
      <c r="J105" s="170"/>
      <c r="K105" s="170"/>
    </row>
    <row r="106" spans="1:11" ht="18.75" x14ac:dyDescent="0.3">
      <c r="A106" s="166" t="s">
        <v>394</v>
      </c>
      <c r="B106" s="166" t="s">
        <v>13</v>
      </c>
      <c r="C106" s="166" t="s">
        <v>823</v>
      </c>
      <c r="D106" s="166"/>
      <c r="E106" s="169"/>
      <c r="F106" s="166"/>
      <c r="G106" s="166"/>
      <c r="H106" s="166"/>
      <c r="I106" s="166"/>
      <c r="J106" s="166"/>
      <c r="K106" s="166"/>
    </row>
    <row r="107" spans="1:11" ht="18.75" x14ac:dyDescent="0.3">
      <c r="A107" s="166" t="s">
        <v>12</v>
      </c>
      <c r="B107" s="166" t="s">
        <v>13</v>
      </c>
      <c r="C107" s="166" t="s">
        <v>382</v>
      </c>
      <c r="D107" s="166"/>
      <c r="E107" s="169"/>
      <c r="F107" s="166"/>
      <c r="G107" s="166"/>
      <c r="H107" s="166"/>
      <c r="I107" s="166"/>
      <c r="J107" s="166"/>
      <c r="K107" s="166"/>
    </row>
    <row r="108" spans="1:11" ht="18.75" x14ac:dyDescent="0.3">
      <c r="A108" s="166" t="s">
        <v>25</v>
      </c>
      <c r="B108" s="166" t="s">
        <v>13</v>
      </c>
      <c r="C108" s="166" t="s">
        <v>826</v>
      </c>
      <c r="D108" s="166"/>
      <c r="E108" s="169"/>
      <c r="F108" s="166"/>
      <c r="G108" s="166"/>
      <c r="H108" s="166"/>
      <c r="I108" s="166"/>
      <c r="J108" s="166"/>
      <c r="K108" s="166"/>
    </row>
    <row r="109" spans="1:11" ht="18.75" x14ac:dyDescent="0.3">
      <c r="A109" s="165" t="s">
        <v>12</v>
      </c>
      <c r="B109" s="166" t="s">
        <v>13</v>
      </c>
      <c r="C109" s="166" t="s">
        <v>276</v>
      </c>
      <c r="D109" s="166"/>
      <c r="E109" s="169"/>
      <c r="F109" s="166"/>
      <c r="G109" s="166"/>
      <c r="H109" s="166"/>
      <c r="I109" s="166"/>
      <c r="J109" s="166"/>
      <c r="K109" s="166"/>
    </row>
    <row r="110" spans="1:11" ht="18.75" x14ac:dyDescent="0.3">
      <c r="A110" s="166" t="s">
        <v>43</v>
      </c>
      <c r="B110" s="166" t="s">
        <v>20</v>
      </c>
      <c r="C110" s="166" t="s">
        <v>258</v>
      </c>
      <c r="D110" s="167"/>
      <c r="E110" s="169"/>
      <c r="F110" s="166"/>
      <c r="G110" s="166"/>
      <c r="H110" s="166"/>
      <c r="I110" s="166"/>
      <c r="J110" s="166"/>
      <c r="K110" s="166"/>
    </row>
    <row r="111" spans="1:11" ht="18.75" x14ac:dyDescent="0.3">
      <c r="A111" s="166" t="s">
        <v>25</v>
      </c>
      <c r="B111" s="166" t="s">
        <v>13</v>
      </c>
      <c r="C111" s="166" t="s">
        <v>383</v>
      </c>
      <c r="D111" s="166"/>
      <c r="E111" s="169"/>
      <c r="F111" s="166"/>
      <c r="G111" s="166"/>
      <c r="H111" s="166"/>
      <c r="I111" s="166"/>
      <c r="J111" s="166"/>
      <c r="K111" s="166"/>
    </row>
    <row r="112" spans="1:11" ht="18.75" x14ac:dyDescent="0.3">
      <c r="A112" s="166" t="s">
        <v>25</v>
      </c>
      <c r="B112" s="166" t="s">
        <v>13</v>
      </c>
      <c r="C112" s="166" t="s">
        <v>832</v>
      </c>
      <c r="D112" s="166"/>
      <c r="E112" s="169"/>
      <c r="F112" s="166"/>
      <c r="G112" s="166"/>
      <c r="H112" s="166"/>
      <c r="I112" s="166"/>
      <c r="J112" s="166"/>
      <c r="K112" s="166"/>
    </row>
    <row r="113" spans="1:11" ht="18.75" hidden="1" x14ac:dyDescent="0.3">
      <c r="A113" s="166" t="s">
        <v>399</v>
      </c>
      <c r="B113" s="166" t="s">
        <v>13</v>
      </c>
      <c r="C113" s="166" t="s">
        <v>838</v>
      </c>
      <c r="D113" s="166"/>
      <c r="E113" s="169"/>
      <c r="F113" s="166"/>
      <c r="G113" s="166"/>
      <c r="H113" s="166"/>
      <c r="I113" s="166"/>
      <c r="J113" s="166"/>
      <c r="K113" s="166"/>
    </row>
    <row r="114" spans="1:11" ht="18.75" x14ac:dyDescent="0.3">
      <c r="A114" s="166" t="s">
        <v>12</v>
      </c>
      <c r="B114" s="166" t="s">
        <v>20</v>
      </c>
      <c r="C114" s="166" t="s">
        <v>836</v>
      </c>
      <c r="D114" s="166"/>
      <c r="E114" s="169"/>
      <c r="F114" s="169"/>
      <c r="G114" s="166"/>
      <c r="H114" s="166"/>
      <c r="I114" s="166"/>
      <c r="J114" s="166"/>
      <c r="K114" s="166"/>
    </row>
    <row r="115" spans="1:11" ht="18.75" x14ac:dyDescent="0.3">
      <c r="A115" s="166" t="s">
        <v>43</v>
      </c>
      <c r="B115" s="166" t="s">
        <v>13</v>
      </c>
      <c r="C115" s="166" t="s">
        <v>837</v>
      </c>
      <c r="D115" s="166"/>
      <c r="E115" s="169"/>
      <c r="F115" s="169"/>
      <c r="G115" s="166"/>
      <c r="H115" s="166"/>
      <c r="I115" s="166"/>
      <c r="J115" s="166"/>
      <c r="K115" s="166"/>
    </row>
    <row r="116" spans="1:11" ht="18.75" x14ac:dyDescent="0.3">
      <c r="A116" s="166" t="s">
        <v>43</v>
      </c>
      <c r="B116" s="166" t="s">
        <v>20</v>
      </c>
      <c r="C116" s="166" t="s">
        <v>840</v>
      </c>
      <c r="D116" s="166"/>
      <c r="E116" s="169"/>
      <c r="F116" s="166"/>
      <c r="G116" s="166"/>
      <c r="H116" s="166"/>
      <c r="I116" s="166"/>
      <c r="J116" s="166"/>
      <c r="K116" s="166"/>
    </row>
  </sheetData>
  <autoFilter ref="A1:K115" xr:uid="{E47467A4-0D9C-47B5-8956-0208DC9B3BDF}">
    <filterColumn colId="1">
      <filters>
        <filter val="Gilbert"/>
        <filter val="Sullivan"/>
      </filters>
    </filterColumn>
    <sortState xmlns:xlrd2="http://schemas.microsoft.com/office/spreadsheetml/2017/richdata2" ref="A2:K116">
      <sortCondition ref="E1:E115"/>
    </sortState>
  </autoFilter>
  <conditionalFormatting sqref="C32:C92">
    <cfRule type="containsText" dxfId="66" priority="16" operator="containsText" text="Done">
      <formula>NOT(ISERROR(SEARCH(("Done"),(C32))))</formula>
    </cfRule>
  </conditionalFormatting>
  <conditionalFormatting sqref="C111:C116">
    <cfRule type="containsText" dxfId="65" priority="3" operator="containsText" text="Done">
      <formula>NOT(ISERROR(SEARCH(("Done"),(C111))))</formula>
    </cfRule>
  </conditionalFormatting>
  <conditionalFormatting sqref="E2:F7 E8">
    <cfRule type="cellIs" dxfId="64" priority="1" operator="lessThan">
      <formula>TODAY()</formula>
    </cfRule>
  </conditionalFormatting>
  <conditionalFormatting sqref="G113:H113">
    <cfRule type="containsText" dxfId="63" priority="12" operator="containsText" text="Done">
      <formula>NOT(ISERROR(SEARCH(("Done"),(G113))))</formula>
    </cfRule>
  </conditionalFormatting>
  <conditionalFormatting sqref="H2 G2:G7 C2:C29 C94:C109">
    <cfRule type="containsText" dxfId="62" priority="25" operator="containsText" text="Done">
      <formula>NOT(ISERROR(SEARCH(("Done"),(C2))))</formula>
    </cfRule>
  </conditionalFormatting>
  <conditionalFormatting sqref="I1:K116 D2:D116">
    <cfRule type="containsBlanks" dxfId="61" priority="2">
      <formula>LEN(TRIM(D1))=0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52"/>
  <sheetViews>
    <sheetView workbookViewId="0"/>
  </sheetViews>
  <sheetFormatPr defaultColWidth="12.5703125" defaultRowHeight="15.75" customHeight="1" x14ac:dyDescent="0.2"/>
  <cols>
    <col min="1" max="1" width="12.140625" customWidth="1"/>
    <col min="2" max="2" width="10.28515625" customWidth="1"/>
    <col min="3" max="3" width="21.42578125" customWidth="1"/>
    <col min="4" max="4" width="20.5703125" customWidth="1"/>
    <col min="5" max="5" width="14.85546875" customWidth="1"/>
    <col min="6" max="6" width="13.42578125" customWidth="1"/>
    <col min="7" max="7" width="13.85546875" customWidth="1"/>
    <col min="8" max="8" width="15.85546875" customWidth="1"/>
    <col min="9" max="9" width="16" customWidth="1"/>
    <col min="10" max="10" width="16.7109375" customWidth="1"/>
  </cols>
  <sheetData>
    <row r="1" spans="1:28" ht="12.75" x14ac:dyDescent="0.2">
      <c r="A1" s="10"/>
      <c r="B1" s="10"/>
      <c r="C1" s="10"/>
      <c r="D1" s="10"/>
      <c r="E1" s="10"/>
      <c r="F1" s="10"/>
      <c r="G1" s="10"/>
      <c r="H1" s="10"/>
      <c r="I1" s="10"/>
      <c r="J1" s="11"/>
    </row>
    <row r="2" spans="1:28" ht="12.75" x14ac:dyDescent="0.2">
      <c r="A2" s="12" t="str">
        <f ca="1">IFERROR(__xludf.UNSUPPORTED("QUERY({'AIMS Calendar 2324'!A:BK}, ""SELECT * WHERE Col2 = 'Gilbert'"")
"),"This is a personal project by Darragh Carroll / not an official AIMS piece! - if there are any gaps - feel free to get in touch with me at info@darraghc.ie - Or if you'd like to become an editor!  Region")</f>
        <v>This is a personal project by Darragh Carroll / not an official AIMS piece! - if there are any gaps - feel free to get in touch with me at info@darraghc.ie - Or if you'd like to become an editor!  Region</v>
      </c>
      <c r="B2" s="12" t="str">
        <f ca="1">IFERROR(__xludf.UNSUPPORTED("""COMPUTED_VALUE""")," Category")</f>
        <v xml:space="preserve"> Category</v>
      </c>
      <c r="C2" s="12" t="str">
        <f ca="1">IFERROR(__xludf.UNSUPPORTED("""COMPUTED_VALUE""")," Society")</f>
        <v xml:space="preserve"> Society</v>
      </c>
      <c r="D2" s="12" t="str">
        <f ca="1">IFERROR(__xludf.UNSUPPORTED("""COMPUTED_VALUE""")," Show")</f>
        <v xml:space="preserve"> Show</v>
      </c>
      <c r="E2" s="12" t="str">
        <f ca="1">IFERROR(__xludf.UNSUPPORTED("""COMPUTED_VALUE""")," Opening")</f>
        <v xml:space="preserve"> Opening</v>
      </c>
      <c r="F2" s="12" t="str">
        <f ca="1">IFERROR(__xludf.UNSUPPORTED("""COMPUTED_VALUE""")," Closing")</f>
        <v xml:space="preserve"> Closing</v>
      </c>
      <c r="G2" s="12" t="str">
        <f ca="1">IFERROR(__xludf.UNSUPPORTED("""COMPUTED_VALUE""")," Review Online")</f>
        <v xml:space="preserve"> Review Online</v>
      </c>
      <c r="H2" s="12" t="str">
        <f ca="1">IFERROR(__xludf.UNSUPPORTED("""COMPUTED_VALUE""")," Director")</f>
        <v xml:space="preserve"> Director</v>
      </c>
      <c r="I2" s="12" t="str">
        <f ca="1">IFERROR(__xludf.UNSUPPORTED("""COMPUTED_VALUE""")," Choreographer")</f>
        <v xml:space="preserve"> Choreographer</v>
      </c>
      <c r="J2" s="13" t="str">
        <f ca="1">IFERROR(__xludf.UNSUPPORTED("""COMPUTED_VALUE""")," Musical Director")</f>
        <v xml:space="preserve"> Musical Director</v>
      </c>
      <c r="K2" s="8" t="str">
        <f ca="1">IFERROR(__xludf.UNSUPPORTED("""COMPUTED_VALUE""")," ")</f>
        <v xml:space="preserve"> </v>
      </c>
      <c r="L2" s="8" t="str">
        <f ca="1">IFERROR(__xludf.UNSUPPORTED("""COMPUTED_VALUE""")," ")</f>
        <v xml:space="preserve"> </v>
      </c>
      <c r="M2" s="8" t="str">
        <f ca="1">IFERROR(__xludf.UNSUPPORTED("""COMPUTED_VALUE""")," ")</f>
        <v xml:space="preserve"> </v>
      </c>
      <c r="N2" s="8" t="str">
        <f ca="1">IFERROR(__xludf.UNSUPPORTED("""COMPUTED_VALUE""")," ")</f>
        <v xml:space="preserve"> </v>
      </c>
      <c r="O2" s="8" t="str">
        <f ca="1">IFERROR(__xludf.UNSUPPORTED("""COMPUTED_VALUE""")," ")</f>
        <v xml:space="preserve"> </v>
      </c>
      <c r="P2" s="8" t="str">
        <f ca="1">IFERROR(__xludf.UNSUPPORTED("""COMPUTED_VALUE""")," ")</f>
        <v xml:space="preserve"> </v>
      </c>
      <c r="Q2" s="8" t="str">
        <f ca="1">IFERROR(__xludf.UNSUPPORTED("""COMPUTED_VALUE""")," ")</f>
        <v xml:space="preserve"> </v>
      </c>
      <c r="R2" s="8" t="str">
        <f ca="1">IFERROR(__xludf.UNSUPPORTED("""COMPUTED_VALUE""")," ")</f>
        <v xml:space="preserve"> </v>
      </c>
      <c r="S2" s="8" t="str">
        <f ca="1">IFERROR(__xludf.UNSUPPORTED("""COMPUTED_VALUE""")," ")</f>
        <v xml:space="preserve"> </v>
      </c>
      <c r="T2" s="8" t="str">
        <f ca="1">IFERROR(__xludf.UNSUPPORTED("""COMPUTED_VALUE""")," ")</f>
        <v xml:space="preserve"> </v>
      </c>
      <c r="U2" s="8" t="str">
        <f ca="1">IFERROR(__xludf.UNSUPPORTED("""COMPUTED_VALUE""")," ")</f>
        <v xml:space="preserve"> </v>
      </c>
      <c r="V2" s="8" t="str">
        <f ca="1">IFERROR(__xludf.UNSUPPORTED("""COMPUTED_VALUE""")," ")</f>
        <v xml:space="preserve"> </v>
      </c>
      <c r="W2" s="8" t="str">
        <f ca="1">IFERROR(__xludf.UNSUPPORTED("""COMPUTED_VALUE""")," ")</f>
        <v xml:space="preserve"> </v>
      </c>
      <c r="X2" s="8" t="str">
        <f ca="1">IFERROR(__xludf.UNSUPPORTED("""COMPUTED_VALUE""")," ")</f>
        <v xml:space="preserve"> </v>
      </c>
      <c r="Y2" s="8" t="str">
        <f ca="1">IFERROR(__xludf.UNSUPPORTED("""COMPUTED_VALUE""")," ")</f>
        <v xml:space="preserve"> </v>
      </c>
      <c r="Z2" s="8" t="str">
        <f ca="1">IFERROR(__xludf.UNSUPPORTED("""COMPUTED_VALUE""")," ")</f>
        <v xml:space="preserve"> </v>
      </c>
      <c r="AA2" s="8" t="str">
        <f ca="1">IFERROR(__xludf.UNSUPPORTED("""COMPUTED_VALUE""")," ")</f>
        <v xml:space="preserve"> </v>
      </c>
      <c r="AB2" s="8" t="str">
        <f ca="1">IFERROR(__xludf.UNSUPPORTED("""COMPUTED_VALUE""")," ")</f>
        <v xml:space="preserve"> </v>
      </c>
    </row>
    <row r="3" spans="1:28" ht="12.75" x14ac:dyDescent="0.2">
      <c r="A3" s="14" t="str">
        <f ca="1">IFERROR(__xludf.UNSUPPORTED("""COMPUTED_VALUE"""),"Northern")</f>
        <v>Northern</v>
      </c>
      <c r="B3" s="14" t="str">
        <f ca="1">IFERROR(__xludf.UNSUPPORTED("""COMPUTED_VALUE"""),"Gilbert")</f>
        <v>Gilbert</v>
      </c>
      <c r="C3" s="14" t="str">
        <f ca="1">IFERROR(__xludf.UNSUPPORTED("""COMPUTED_VALUE"""),"Ballywillan Drama Group")</f>
        <v>Ballywillan Drama Group</v>
      </c>
      <c r="D3" s="15" t="str">
        <f ca="1">IFERROR(__xludf.UNSUPPORTED("""COMPUTED_VALUE"""),"Kinky Boots")</f>
        <v>Kinky Boots</v>
      </c>
      <c r="E3" s="16">
        <f ca="1">IFERROR(__xludf.UNSUPPORTED("""COMPUTED_VALUE"""),45072)</f>
        <v>45072</v>
      </c>
      <c r="F3" s="17">
        <f ca="1">IFERROR(__xludf.UNSUPPORTED("""COMPUTED_VALUE"""),45087)</f>
        <v>45087</v>
      </c>
      <c r="G3" s="14" t="str">
        <f ca="1">IFERROR(__xludf.UNSUPPORTED("""COMPUTED_VALUE"""),"direct link")</f>
        <v>direct link</v>
      </c>
      <c r="H3" s="14" t="str">
        <f ca="1">IFERROR(__xludf.UNSUPPORTED("""COMPUTED_VALUE"""),"Brian Logan")</f>
        <v>Brian Logan</v>
      </c>
      <c r="I3" s="14" t="str">
        <f ca="1">IFERROR(__xludf.UNSUPPORTED("""COMPUTED_VALUE"""),"Laura Fisher")</f>
        <v>Laura Fisher</v>
      </c>
      <c r="J3" s="14" t="str">
        <f ca="1">IFERROR(__xludf.UNSUPPORTED("""COMPUTED_VALUE"""),"Andrew Robinson")</f>
        <v>Andrew Robinson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ht="12.75" x14ac:dyDescent="0.2">
      <c r="A4" s="15" t="str">
        <f ca="1">IFERROR(__xludf.UNSUPPORTED("""COMPUTED_VALUE"""),"Northern")</f>
        <v>Northern</v>
      </c>
      <c r="B4" s="15" t="str">
        <f ca="1">IFERROR(__xludf.UNSUPPORTED("""COMPUTED_VALUE"""),"Gilbert")</f>
        <v>Gilbert</v>
      </c>
      <c r="C4" s="15" t="str">
        <f ca="1">IFERROR(__xludf.UNSUPPORTED("""COMPUTED_VALUE"""),"Ulster Operatic")</f>
        <v>Ulster Operatic</v>
      </c>
      <c r="D4" s="15" t="str">
        <f ca="1">IFERROR(__xludf.UNSUPPORTED("""COMPUTED_VALUE"""),"Evita")</f>
        <v>Evita</v>
      </c>
      <c r="E4" s="18">
        <f ca="1">IFERROR(__xludf.UNSUPPORTED("""COMPUTED_VALUE"""),45189)</f>
        <v>45189</v>
      </c>
      <c r="F4" s="19">
        <f ca="1">IFERROR(__xludf.UNSUPPORTED("""COMPUTED_VALUE"""),45192)</f>
        <v>45192</v>
      </c>
      <c r="G4" s="15" t="str">
        <f ca="1">IFERROR(__xludf.UNSUPPORTED("""COMPUTED_VALUE"""),"direct link")</f>
        <v>direct link</v>
      </c>
      <c r="H4" s="15" t="str">
        <f ca="1">IFERROR(__xludf.UNSUPPORTED("""COMPUTED_VALUE"""),"Tony Finnegan")</f>
        <v>Tony Finnegan</v>
      </c>
      <c r="I4" s="15" t="str">
        <f ca="1">IFERROR(__xludf.UNSUPPORTED("""COMPUTED_VALUE"""),"Ann Marie Morgan")</f>
        <v>Ann Marie Morgan</v>
      </c>
      <c r="J4" s="14" t="str">
        <f ca="1">IFERROR(__xludf.UNSUPPORTED("""COMPUTED_VALUE"""),"Wilson Shields")</f>
        <v>Wilson Shields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ht="12.75" x14ac:dyDescent="0.2">
      <c r="A5" s="15" t="str">
        <f ca="1">IFERROR(__xludf.UNSUPPORTED("""COMPUTED_VALUE"""),"Eastern")</f>
        <v>Eastern</v>
      </c>
      <c r="B5" s="15" t="str">
        <f ca="1">IFERROR(__xludf.UNSUPPORTED("""COMPUTED_VALUE"""),"Gilbert")</f>
        <v>Gilbert</v>
      </c>
      <c r="C5" s="15" t="str">
        <f ca="1">IFERROR(__xludf.UNSUPPORTED("""COMPUTED_VALUE"""),"UCD")</f>
        <v>UCD</v>
      </c>
      <c r="D5" s="15" t="str">
        <f ca="1">IFERROR(__xludf.UNSUPPORTED("""COMPUTED_VALUE"""),"Bare")</f>
        <v>Bare</v>
      </c>
      <c r="E5" s="20">
        <f ca="1">IFERROR(__xludf.UNSUPPORTED("""COMPUTED_VALUE"""),45196)</f>
        <v>45196</v>
      </c>
      <c r="F5" s="19">
        <f ca="1">IFERROR(__xludf.UNSUPPORTED("""COMPUTED_VALUE"""),45198)</f>
        <v>45198</v>
      </c>
      <c r="G5" s="15" t="str">
        <f ca="1">IFERROR(__xludf.UNSUPPORTED("""COMPUTED_VALUE"""),"direct link")</f>
        <v>direct link</v>
      </c>
      <c r="H5" s="15" t="str">
        <f ca="1">IFERROR(__xludf.UNSUPPORTED("""COMPUTED_VALUE"""),"Sorcha McGlynn")</f>
        <v>Sorcha McGlynn</v>
      </c>
      <c r="I5" s="15" t="str">
        <f ca="1">IFERROR(__xludf.UNSUPPORTED("""COMPUTED_VALUE"""),"Brianna Kelly")</f>
        <v>Brianna Kelly</v>
      </c>
      <c r="J5" s="14" t="str">
        <f ca="1">IFERROR(__xludf.UNSUPPORTED("""COMPUTED_VALUE"""),"Luke Shiels")</f>
        <v>Luke Shiels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ht="12.75" x14ac:dyDescent="0.2">
      <c r="A6" s="15" t="str">
        <f ca="1">IFERROR(__xludf.UNSUPPORTED("""COMPUTED_VALUE"""),"Western")</f>
        <v>Western</v>
      </c>
      <c r="B6" s="15" t="str">
        <f ca="1">IFERROR(__xludf.UNSUPPORTED("""COMPUTED_VALUE"""),"Gilbert")</f>
        <v>Gilbert</v>
      </c>
      <c r="C6" s="15" t="str">
        <f ca="1">IFERROR(__xludf.UNSUPPORTED("""COMPUTED_VALUE"""),"Bravo")</f>
        <v>Bravo</v>
      </c>
      <c r="D6" s="15" t="str">
        <f ca="1">IFERROR(__xludf.UNSUPPORTED("""COMPUTED_VALUE"""),"Calendar Girls")</f>
        <v>Calendar Girls</v>
      </c>
      <c r="E6" s="21">
        <f ca="1">IFERROR(__xludf.UNSUPPORTED("""COMPUTED_VALUE"""),45197)</f>
        <v>45197</v>
      </c>
      <c r="F6" s="19">
        <f ca="1">IFERROR(__xludf.UNSUPPORTED("""COMPUTED_VALUE"""),45199)</f>
        <v>45199</v>
      </c>
      <c r="G6" s="15" t="str">
        <f ca="1">IFERROR(__xludf.UNSUPPORTED("""COMPUTED_VALUE"""),"direct link")</f>
        <v>direct link</v>
      </c>
      <c r="H6" s="15" t="str">
        <f ca="1">IFERROR(__xludf.UNSUPPORTED("""COMPUTED_VALUE"""),"Pat McElwain")</f>
        <v>Pat McElwain</v>
      </c>
      <c r="I6" s="15" t="str">
        <f ca="1">IFERROR(__xludf.UNSUPPORTED("""COMPUTED_VALUE"""),"Jay Molyneux")</f>
        <v>Jay Molyneux</v>
      </c>
      <c r="J6" s="14" t="str">
        <f ca="1">IFERROR(__xludf.UNSUPPORTED("""COMPUTED_VALUE"""),"Shane Farrell")</f>
        <v>Shane Farrell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 ht="12.75" x14ac:dyDescent="0.2">
      <c r="A7" s="15" t="str">
        <f ca="1">IFERROR(__xludf.UNSUPPORTED("""COMPUTED_VALUE"""),"Western")</f>
        <v>Western</v>
      </c>
      <c r="B7" s="15" t="str">
        <f ca="1">IFERROR(__xludf.UNSUPPORTED("""COMPUTED_VALUE"""),"Gilbert")</f>
        <v>Gilbert</v>
      </c>
      <c r="C7" s="15" t="str">
        <f ca="1">IFERROR(__xludf.UNSUPPORTED("""COMPUTED_VALUE"""),"MCS")</f>
        <v>MCS</v>
      </c>
      <c r="D7" s="15" t="str">
        <f ca="1">IFERROR(__xludf.UNSUPPORTED("""COMPUTED_VALUE"""),"Evita")</f>
        <v>Evita</v>
      </c>
      <c r="E7" s="18">
        <f ca="1">IFERROR(__xludf.UNSUPPORTED("""COMPUTED_VALUE"""),45230)</f>
        <v>45230</v>
      </c>
      <c r="F7" s="19">
        <f ca="1">IFERROR(__xludf.UNSUPPORTED("""COMPUTED_VALUE"""),45234)</f>
        <v>45234</v>
      </c>
      <c r="G7" s="15" t="str">
        <f ca="1">IFERROR(__xludf.UNSUPPORTED("""COMPUTED_VALUE"""),"direct link")</f>
        <v>direct link</v>
      </c>
      <c r="H7" s="15" t="str">
        <f ca="1">IFERROR(__xludf.UNSUPPORTED("""COMPUTED_VALUE"""),"Ronan Lardner")</f>
        <v>Ronan Lardner</v>
      </c>
      <c r="I7" s="15" t="str">
        <f ca="1">IFERROR(__xludf.UNSUPPORTED("""COMPUTED_VALUE"""),"Jay Molyneux")</f>
        <v>Jay Molyneux</v>
      </c>
      <c r="J7" s="14" t="str">
        <f ca="1">IFERROR(__xludf.UNSUPPORTED("""COMPUTED_VALUE"""),"Shane Farrell")</f>
        <v>Shane Farrell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 ht="12.75" x14ac:dyDescent="0.2">
      <c r="A8" s="15" t="str">
        <f ca="1">IFERROR(__xludf.UNSUPPORTED("""COMPUTED_VALUE"""),"Eastern")</f>
        <v>Eastern</v>
      </c>
      <c r="B8" s="15" t="str">
        <f ca="1">IFERROR(__xludf.UNSUPPORTED("""COMPUTED_VALUE"""),"Gilbert")</f>
        <v>Gilbert</v>
      </c>
      <c r="C8" s="15" t="str">
        <f ca="1">IFERROR(__xludf.UNSUPPORTED("""COMPUTED_VALUE"""),"HXT")</f>
        <v>HXT</v>
      </c>
      <c r="D8" s="15" t="str">
        <f ca="1">IFERROR(__xludf.UNSUPPORTED("""COMPUTED_VALUE"""),"Little Shop of Horrors")</f>
        <v>Little Shop of Horrors</v>
      </c>
      <c r="E8" s="20">
        <f ca="1">IFERROR(__xludf.UNSUPPORTED("""COMPUTED_VALUE"""),45237)</f>
        <v>45237</v>
      </c>
      <c r="F8" s="19">
        <f ca="1">IFERROR(__xludf.UNSUPPORTED("""COMPUTED_VALUE"""),45241)</f>
        <v>45241</v>
      </c>
      <c r="G8" s="15" t="str">
        <f ca="1">IFERROR(__xludf.UNSUPPORTED("""COMPUTED_VALUE"""),"direct link")</f>
        <v>direct link</v>
      </c>
      <c r="H8" s="15" t="str">
        <f ca="1">IFERROR(__xludf.UNSUPPORTED("""COMPUTED_VALUE"""),"Ciaran Mooney")</f>
        <v>Ciaran Mooney</v>
      </c>
      <c r="I8" s="15" t="str">
        <f ca="1">IFERROR(__xludf.UNSUPPORTED("""COMPUTED_VALUE"""),"Erica Delaney")</f>
        <v>Erica Delaney</v>
      </c>
      <c r="J8" s="14" t="str">
        <f ca="1">IFERROR(__xludf.UNSUPPORTED("""COMPUTED_VALUE"""),"Dermot O'Callaghan")</f>
        <v>Dermot O'Callaghan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28" ht="12.75" x14ac:dyDescent="0.2">
      <c r="A9" s="15" t="str">
        <f ca="1">IFERROR(__xludf.UNSUPPORTED("""COMPUTED_VALUE"""),"Northern")</f>
        <v>Northern</v>
      </c>
      <c r="B9" s="15" t="str">
        <f ca="1">IFERROR(__xludf.UNSUPPORTED("""COMPUTED_VALUE"""),"Gilbert")</f>
        <v>Gilbert</v>
      </c>
      <c r="C9" s="15" t="str">
        <f ca="1">IFERROR(__xludf.UNSUPPORTED("""COMPUTED_VALUE"""),"St. Patricks Choral Society")</f>
        <v>St. Patricks Choral Society</v>
      </c>
      <c r="D9" s="15" t="str">
        <f ca="1">IFERROR(__xludf.UNSUPPORTED("""COMPUTED_VALUE"""),"All Shook Up")</f>
        <v>All Shook Up</v>
      </c>
      <c r="E9" s="18">
        <f ca="1">IFERROR(__xludf.UNSUPPORTED("""COMPUTED_VALUE"""),45238)</f>
        <v>45238</v>
      </c>
      <c r="F9" s="19">
        <f ca="1">IFERROR(__xludf.UNSUPPORTED("""COMPUTED_VALUE"""),45241)</f>
        <v>45241</v>
      </c>
      <c r="G9" s="15" t="str">
        <f ca="1">IFERROR(__xludf.UNSUPPORTED("""COMPUTED_VALUE"""),"direct link")</f>
        <v>direct link</v>
      </c>
      <c r="H9" s="15" t="str">
        <f ca="1">IFERROR(__xludf.UNSUPPORTED("""COMPUTED_VALUE"""),"Simon Pyper")</f>
        <v>Simon Pyper</v>
      </c>
      <c r="I9" s="15" t="str">
        <f ca="1">IFERROR(__xludf.UNSUPPORTED("""COMPUTED_VALUE"""),"Alex McFarlane")</f>
        <v>Alex McFarlane</v>
      </c>
      <c r="J9" s="14" t="str">
        <f ca="1">IFERROR(__xludf.UNSUPPORTED("""COMPUTED_VALUE"""),"Wilson Shields")</f>
        <v>Wilson Shields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 ht="12.75" x14ac:dyDescent="0.2">
      <c r="A10" s="15" t="str">
        <f ca="1">IFERROR(__xludf.UNSUPPORTED("""COMPUTED_VALUE"""),"Eastern")</f>
        <v>Eastern</v>
      </c>
      <c r="B10" s="15" t="str">
        <f ca="1">IFERROR(__xludf.UNSUPPORTED("""COMPUTED_VALUE"""),"Gilbert")</f>
        <v>Gilbert</v>
      </c>
      <c r="C10" s="15" t="str">
        <f ca="1">IFERROR(__xludf.UNSUPPORTED("""COMPUTED_VALUE"""),"Coolmine")</f>
        <v>Coolmine</v>
      </c>
      <c r="D10" s="15" t="str">
        <f ca="1">IFERROR(__xludf.UNSUPPORTED("""COMPUTED_VALUE"""),"Seussical! The Musical")</f>
        <v>Seussical! The Musical</v>
      </c>
      <c r="E10" s="18">
        <f ca="1">IFERROR(__xludf.UNSUPPORTED("""COMPUTED_VALUE"""),45244)</f>
        <v>45244</v>
      </c>
      <c r="F10" s="19">
        <f ca="1">IFERROR(__xludf.UNSUPPORTED("""COMPUTED_VALUE"""),45248)</f>
        <v>45248</v>
      </c>
      <c r="G10" s="15" t="str">
        <f ca="1">IFERROR(__xludf.UNSUPPORTED("""COMPUTED_VALUE"""),"direct link")</f>
        <v>direct link</v>
      </c>
      <c r="H10" s="15" t="str">
        <f ca="1">IFERROR(__xludf.UNSUPPORTED("""COMPUTED_VALUE"""),"Pat McElwain")</f>
        <v>Pat McElwain</v>
      </c>
      <c r="I10" s="15" t="str">
        <f ca="1">IFERROR(__xludf.UNSUPPORTED("""COMPUTED_VALUE"""),"Nicole McDonald")</f>
        <v>Nicole McDonald</v>
      </c>
      <c r="J10" s="14" t="str">
        <f ca="1">IFERROR(__xludf.UNSUPPORTED("""COMPUTED_VALUE"""),"Caitriona Ní Threasaigh")</f>
        <v>Caitriona Ní Threasaigh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28" ht="12.75" x14ac:dyDescent="0.2">
      <c r="A11" s="15" t="str">
        <f ca="1">IFERROR(__xludf.UNSUPPORTED("""COMPUTED_VALUE"""),"Northern")</f>
        <v>Northern</v>
      </c>
      <c r="B11" s="15" t="str">
        <f ca="1">IFERROR(__xludf.UNSUPPORTED("""COMPUTED_VALUE"""),"Gilbert")</f>
        <v>Gilbert</v>
      </c>
      <c r="C11" s="15" t="str">
        <f ca="1">IFERROR(__xludf.UNSUPPORTED("""COMPUTED_VALUE"""),"Newcastle Glees")</f>
        <v>Newcastle Glees</v>
      </c>
      <c r="D11" s="15" t="str">
        <f ca="1">IFERROR(__xludf.UNSUPPORTED("""COMPUTED_VALUE"""),"Urinetown")</f>
        <v>Urinetown</v>
      </c>
      <c r="E11" s="18">
        <f ca="1">IFERROR(__xludf.UNSUPPORTED("""COMPUTED_VALUE"""),45246)</f>
        <v>45246</v>
      </c>
      <c r="F11" s="19">
        <f ca="1">IFERROR(__xludf.UNSUPPORTED("""COMPUTED_VALUE"""),45255)</f>
        <v>45255</v>
      </c>
      <c r="G11" s="14" t="str">
        <f ca="1">IFERROR(__xludf.UNSUPPORTED("""COMPUTED_VALUE"""),"Live on Jan 24th")</f>
        <v>Live on Jan 24th</v>
      </c>
      <c r="H11" s="14" t="str">
        <f ca="1">IFERROR(__xludf.UNSUPPORTED("""COMPUTED_VALUE"""),"Laura Kerr")</f>
        <v>Laura Kerr</v>
      </c>
      <c r="I11" s="14" t="str">
        <f ca="1">IFERROR(__xludf.UNSUPPORTED("""COMPUTED_VALUE"""),"Clare Donnelly")</f>
        <v>Clare Donnelly</v>
      </c>
      <c r="J11" s="14" t="str">
        <f ca="1">IFERROR(__xludf.UNSUPPORTED("""COMPUTED_VALUE"""),"Mark Tilley")</f>
        <v>Mark Tilley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ht="12.75" x14ac:dyDescent="0.2">
      <c r="A12" s="15" t="str">
        <f ca="1">IFERROR(__xludf.UNSUPPORTED("""COMPUTED_VALUE"""),"Midlands")</f>
        <v>Midlands</v>
      </c>
      <c r="B12" s="15" t="str">
        <f ca="1">IFERROR(__xludf.UNSUPPORTED("""COMPUTED_VALUE"""),"Gilbert")</f>
        <v>Gilbert</v>
      </c>
      <c r="C12" s="15" t="str">
        <f ca="1">IFERROR(__xludf.UNSUPPORTED("""COMPUTED_VALUE"""),"Portlaoise")</f>
        <v>Portlaoise</v>
      </c>
      <c r="D12" s="15" t="str">
        <f ca="1">IFERROR(__xludf.UNSUPPORTED("""COMPUTED_VALUE"""),"Made in Dagenham")</f>
        <v>Made in Dagenham</v>
      </c>
      <c r="E12" s="18">
        <f ca="1">IFERROR(__xludf.UNSUPPORTED("""COMPUTED_VALUE"""),45248)</f>
        <v>45248</v>
      </c>
      <c r="F12" s="19">
        <f ca="1">IFERROR(__xludf.UNSUPPORTED("""COMPUTED_VALUE"""),45255)</f>
        <v>45255</v>
      </c>
      <c r="G12" s="15" t="str">
        <f ca="1">IFERROR(__xludf.UNSUPPORTED("""COMPUTED_VALUE"""),"Live on Jan 26th")</f>
        <v>Live on Jan 26th</v>
      </c>
      <c r="H12" s="15" t="str">
        <f ca="1">IFERROR(__xludf.UNSUPPORTED("""COMPUTED_VALUE"""),"Art McGauran")</f>
        <v>Art McGauran</v>
      </c>
      <c r="I12" s="15" t="str">
        <f ca="1">IFERROR(__xludf.UNSUPPORTED("""COMPUTED_VALUE"""),"Stephanie Browne")</f>
        <v>Stephanie Browne</v>
      </c>
      <c r="J12" s="14" t="str">
        <f ca="1">IFERROR(__xludf.UNSUPPORTED("""COMPUTED_VALUE"""),"Mary Rose McNally")</f>
        <v>Mary Rose McNally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 ht="12.75" x14ac:dyDescent="0.2">
      <c r="A13" s="15" t="str">
        <f ca="1">IFERROR(__xludf.UNSUPPORTED("""COMPUTED_VALUE"""),"Eastern")</f>
        <v>Eastern</v>
      </c>
      <c r="B13" s="15" t="str">
        <f ca="1">IFERROR(__xludf.UNSUPPORTED("""COMPUTED_VALUE"""),"Gilbert")</f>
        <v>Gilbert</v>
      </c>
      <c r="C13" s="15" t="str">
        <f ca="1">IFERROR(__xludf.UNSUPPORTED("""COMPUTED_VALUE"""),"UCD")</f>
        <v>UCD</v>
      </c>
      <c r="D13" s="15" t="str">
        <f ca="1">IFERROR(__xludf.UNSUPPORTED("""COMPUTED_VALUE"""),"Footloose")</f>
        <v>Footloose</v>
      </c>
      <c r="E13" s="18">
        <f ca="1">IFERROR(__xludf.UNSUPPORTED("""COMPUTED_VALUE"""),45252)</f>
        <v>45252</v>
      </c>
      <c r="F13" s="19">
        <f ca="1">IFERROR(__xludf.UNSUPPORTED("""COMPUTED_VALUE"""),45255)</f>
        <v>45255</v>
      </c>
      <c r="G13" s="15" t="str">
        <f ca="1">IFERROR(__xludf.UNSUPPORTED("""COMPUTED_VALUE"""),"direct link")</f>
        <v>direct link</v>
      </c>
      <c r="H13" s="15" t="str">
        <f ca="1">IFERROR(__xludf.UNSUPPORTED("""COMPUTED_VALUE"""),"Becca Lennon")</f>
        <v>Becca Lennon</v>
      </c>
      <c r="I13" s="15" t="str">
        <f ca="1">IFERROR(__xludf.UNSUPPORTED("""COMPUTED_VALUE"""),"Maya Gaul")</f>
        <v>Maya Gaul</v>
      </c>
      <c r="J13" s="14" t="str">
        <f ca="1">IFERROR(__xludf.UNSUPPORTED("""COMPUTED_VALUE"""),"Edie Weinstein")</f>
        <v>Edie Weinstein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ht="12.75" x14ac:dyDescent="0.2">
      <c r="A14" s="15" t="str">
        <f ca="1">IFERROR(__xludf.UNSUPPORTED("""COMPUTED_VALUE"""),"South-Western")</f>
        <v>South-Western</v>
      </c>
      <c r="B14" s="15" t="str">
        <f ca="1">IFERROR(__xludf.UNSUPPORTED("""COMPUTED_VALUE"""),"Gilbert")</f>
        <v>Gilbert</v>
      </c>
      <c r="C14" s="15" t="str">
        <f ca="1">IFERROR(__xludf.UNSUPPORTED("""COMPUTED_VALUE"""),"Cecilian MS Limerick")</f>
        <v>Cecilian MS Limerick</v>
      </c>
      <c r="D14" s="15" t="str">
        <f ca="1">IFERROR(__xludf.UNSUPPORTED("""COMPUTED_VALUE"""),"Shrek")</f>
        <v>Shrek</v>
      </c>
      <c r="E14" s="18">
        <f ca="1">IFERROR(__xludf.UNSUPPORTED("""COMPUTED_VALUE"""),45252)</f>
        <v>45252</v>
      </c>
      <c r="F14" s="19">
        <f ca="1">IFERROR(__xludf.UNSUPPORTED("""COMPUTED_VALUE"""),45256)</f>
        <v>45256</v>
      </c>
      <c r="G14" s="15" t="str">
        <f ca="1">IFERROR(__xludf.UNSUPPORTED("""COMPUTED_VALUE"""),"Live on Jan 29th")</f>
        <v>Live on Jan 29th</v>
      </c>
      <c r="H14" s="15" t="str">
        <f ca="1">IFERROR(__xludf.UNSUPPORTED("""COMPUTED_VALUE"""),"Des Henn")</f>
        <v>Des Henn</v>
      </c>
      <c r="I14" s="15" t="str">
        <f ca="1">IFERROR(__xludf.UNSUPPORTED("""COMPUTED_VALUE"""),"Barbara Meany")</f>
        <v>Barbara Meany</v>
      </c>
      <c r="J14" s="14" t="str">
        <f ca="1">IFERROR(__xludf.UNSUPPORTED("""COMPUTED_VALUE"""),"Michael Young")</f>
        <v>Michael Young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 ht="12.75" x14ac:dyDescent="0.2">
      <c r="A15" s="15" t="str">
        <f ca="1">IFERROR(__xludf.UNSUPPORTED("""COMPUTED_VALUE"""),"South-Eastern")</f>
        <v>South-Eastern</v>
      </c>
      <c r="B15" s="15" t="str">
        <f ca="1">IFERROR(__xludf.UNSUPPORTED("""COMPUTED_VALUE"""),"Gilbert")</f>
        <v>Gilbert</v>
      </c>
      <c r="C15" s="15" t="str">
        <f ca="1">IFERROR(__xludf.UNSUPPORTED("""COMPUTED_VALUE"""),"Carnew")</f>
        <v>Carnew</v>
      </c>
      <c r="D15" s="15" t="str">
        <f ca="1">IFERROR(__xludf.UNSUPPORTED("""COMPUTED_VALUE"""),"The Addams Family")</f>
        <v>The Addams Family</v>
      </c>
      <c r="E15" s="18">
        <f ca="1">IFERROR(__xludf.UNSUPPORTED("""COMPUTED_VALUE"""),45257)</f>
        <v>45257</v>
      </c>
      <c r="F15" s="19">
        <f ca="1">IFERROR(__xludf.UNSUPPORTED("""COMPUTED_VALUE"""),45262)</f>
        <v>45262</v>
      </c>
      <c r="G15" s="15" t="str">
        <f ca="1">IFERROR(__xludf.UNSUPPORTED("""COMPUTED_VALUE"""),"TBC")</f>
        <v>TBC</v>
      </c>
      <c r="H15" s="15" t="str">
        <f ca="1">IFERROR(__xludf.UNSUPPORTED("""COMPUTED_VALUE"""),"Michael Dunbar")</f>
        <v>Michael Dunbar</v>
      </c>
      <c r="I15" s="15" t="str">
        <f ca="1">IFERROR(__xludf.UNSUPPORTED("""COMPUTED_VALUE"""),"Graham Finnerty")</f>
        <v>Graham Finnerty</v>
      </c>
      <c r="J15" s="14" t="str">
        <f ca="1">IFERROR(__xludf.UNSUPPORTED("""COMPUTED_VALUE"""),"Conor McCarthy")</f>
        <v>Conor McCarthy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8" ht="12.75" x14ac:dyDescent="0.2">
      <c r="A16" s="15" t="str">
        <f ca="1">IFERROR(__xludf.UNSUPPORTED("""COMPUTED_VALUE"""),"South-Eastern")</f>
        <v>South-Eastern</v>
      </c>
      <c r="B16" s="15" t="str">
        <f ca="1">IFERROR(__xludf.UNSUPPORTED("""COMPUTED_VALUE"""),"Gilbert")</f>
        <v>Gilbert</v>
      </c>
      <c r="C16" s="15" t="str">
        <f ca="1">IFERROR(__xludf.UNSUPPORTED("""COMPUTED_VALUE"""),"Oyster Lane Theatre Group")</f>
        <v>Oyster Lane Theatre Group</v>
      </c>
      <c r="D16" s="15" t="str">
        <f ca="1">IFERROR(__xludf.UNSUPPORTED("""COMPUTED_VALUE"""),"The Producers")</f>
        <v>The Producers</v>
      </c>
      <c r="E16" s="22">
        <f ca="1">IFERROR(__xludf.UNSUPPORTED("""COMPUTED_VALUE"""),45258)</f>
        <v>45258</v>
      </c>
      <c r="F16" s="23">
        <f ca="1">IFERROR(__xludf.UNSUPPORTED("""COMPUTED_VALUE"""),45261)</f>
        <v>45261</v>
      </c>
      <c r="G16" s="15" t="str">
        <f ca="1">IFERROR(__xludf.UNSUPPORTED("""COMPUTED_VALUE"""),"Live on Jan 31st")</f>
        <v>Live on Jan 31st</v>
      </c>
      <c r="H16" s="15" t="str">
        <f ca="1">IFERROR(__xludf.UNSUPPORTED("""COMPUTED_VALUE"""),"Stephen Acton")</f>
        <v>Stephen Acton</v>
      </c>
      <c r="I16" s="15" t="str">
        <f ca="1">IFERROR(__xludf.UNSUPPORTED("""COMPUTED_VALUE"""),"Jonny Smith")</f>
        <v>Jonny Smith</v>
      </c>
      <c r="J16" s="14" t="str">
        <f ca="1">IFERROR(__xludf.UNSUPPORTED("""COMPUTED_VALUE"""),"Patrick Clancy")</f>
        <v>Patrick Clancy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ht="12.75" x14ac:dyDescent="0.2">
      <c r="A17" s="15" t="str">
        <f ca="1">IFERROR(__xludf.UNSUPPORTED("""COMPUTED_VALUE"""),"Western")</f>
        <v>Western</v>
      </c>
      <c r="B17" s="15" t="str">
        <f ca="1">IFERROR(__xludf.UNSUPPORTED("""COMPUTED_VALUE"""),"Gilbert")</f>
        <v>Gilbert</v>
      </c>
      <c r="C17" s="15" t="str">
        <f ca="1">IFERROR(__xludf.UNSUPPORTED("""COMPUTED_VALUE"""),"GUMS")</f>
        <v>GUMS</v>
      </c>
      <c r="D17" s="15" t="str">
        <f ca="1">IFERROR(__xludf.UNSUPPORTED("""COMPUTED_VALUE"""),"American Idiot!")</f>
        <v>American Idiot!</v>
      </c>
      <c r="E17" s="22">
        <f ca="1">IFERROR(__xludf.UNSUPPORTED("""COMPUTED_VALUE"""),45321)</f>
        <v>45321</v>
      </c>
      <c r="F17" s="23">
        <f ca="1">IFERROR(__xludf.UNSUPPORTED("""COMPUTED_VALUE"""),45325)</f>
        <v>45325</v>
      </c>
      <c r="G17" s="15"/>
      <c r="H17" s="15" t="str">
        <f ca="1">IFERROR(__xludf.UNSUPPORTED("""COMPUTED_VALUE"""),"Aisling Fox")</f>
        <v>Aisling Fox</v>
      </c>
      <c r="I17" s="15" t="str">
        <f ca="1">IFERROR(__xludf.UNSUPPORTED("""COMPUTED_VALUE"""),"Jodie Finn")</f>
        <v>Jodie Finn</v>
      </c>
      <c r="J17" s="14" t="str">
        <f ca="1">IFERROR(__xludf.UNSUPPORTED("""COMPUTED_VALUE"""),"Robert Cosgrove")</f>
        <v>Robert Cosgrove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ht="12.75" x14ac:dyDescent="0.2">
      <c r="A18" s="15" t="str">
        <f ca="1">IFERROR(__xludf.UNSUPPORTED("""COMPUTED_VALUE"""),"Northern")</f>
        <v>Northern</v>
      </c>
      <c r="B18" s="15" t="str">
        <f ca="1">IFERROR(__xludf.UNSUPPORTED("""COMPUTED_VALUE"""),"Gilbert")</f>
        <v>Gilbert</v>
      </c>
      <c r="C18" s="15" t="str">
        <f ca="1">IFERROR(__xludf.UNSUPPORTED("""COMPUTED_VALUE"""),"Newcastle Glees Jr")</f>
        <v>Newcastle Glees Jr</v>
      </c>
      <c r="D18" s="15" t="str">
        <f ca="1">IFERROR(__xludf.UNSUPPORTED("""COMPUTED_VALUE"""),"Beauty &amp; The Beast")</f>
        <v>Beauty &amp; The Beast</v>
      </c>
      <c r="E18" s="18">
        <f ca="1">IFERROR(__xludf.UNSUPPORTED("""COMPUTED_VALUE"""),45331)</f>
        <v>45331</v>
      </c>
      <c r="F18" s="23">
        <f ca="1">IFERROR(__xludf.UNSUPPORTED("""COMPUTED_VALUE"""),45339)</f>
        <v>45339</v>
      </c>
      <c r="G18" s="15"/>
      <c r="H18" s="15" t="str">
        <f ca="1">IFERROR(__xludf.UNSUPPORTED("""COMPUTED_VALUE"""),"Drian Mullan")</f>
        <v>Drian Mullan</v>
      </c>
      <c r="I18" s="15" t="str">
        <f ca="1">IFERROR(__xludf.UNSUPPORTED("""COMPUTED_VALUE"""),"Gordon Donaldson")</f>
        <v>Gordon Donaldson</v>
      </c>
      <c r="J18" s="14" t="str">
        <f ca="1">IFERROR(__xludf.UNSUPPORTED("""COMPUTED_VALUE"""),"Ria Maguire")</f>
        <v>Ria Maguire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ht="12.75" x14ac:dyDescent="0.2">
      <c r="A19" s="15" t="str">
        <f ca="1">IFERROR(__xludf.UNSUPPORTED("""COMPUTED_VALUE"""),"Midlands")</f>
        <v>Midlands</v>
      </c>
      <c r="B19" s="15" t="str">
        <f ca="1">IFERROR(__xludf.UNSUPPORTED("""COMPUTED_VALUE"""),"Gilbert")</f>
        <v>Gilbert</v>
      </c>
      <c r="C19" s="15" t="str">
        <f ca="1">IFERROR(__xludf.UNSUPPORTED("""COMPUTED_VALUE"""),"Tullamore")</f>
        <v>Tullamore</v>
      </c>
      <c r="D19" s="15" t="str">
        <f ca="1">IFERROR(__xludf.UNSUPPORTED("""COMPUTED_VALUE"""),"Rock of Ages")</f>
        <v>Rock of Ages</v>
      </c>
      <c r="E19" s="18">
        <f ca="1">IFERROR(__xludf.UNSUPPORTED("""COMPUTED_VALUE"""),45332)</f>
        <v>45332</v>
      </c>
      <c r="F19" s="23">
        <f ca="1">IFERROR(__xludf.UNSUPPORTED("""COMPUTED_VALUE"""),45339)</f>
        <v>45339</v>
      </c>
      <c r="G19" s="14"/>
      <c r="H19" s="14" t="str">
        <f ca="1">IFERROR(__xludf.UNSUPPORTED("""COMPUTED_VALUE"""),"Claire Tighe")</f>
        <v>Claire Tighe</v>
      </c>
      <c r="I19" s="14" t="str">
        <f ca="1">IFERROR(__xludf.UNSUPPORTED("""COMPUTED_VALUE"""),"Claire Tighe")</f>
        <v>Claire Tighe</v>
      </c>
      <c r="J19" s="14" t="str">
        <f ca="1">IFERROR(__xludf.UNSUPPORTED("""COMPUTED_VALUE"""),"Enda O'Connor")</f>
        <v>Enda O'Connor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ht="12.75" x14ac:dyDescent="0.2">
      <c r="A20" s="15" t="str">
        <f ca="1">IFERROR(__xludf.UNSUPPORTED("""COMPUTED_VALUE"""),"Western")</f>
        <v>Western</v>
      </c>
      <c r="B20" s="15" t="str">
        <f ca="1">IFERROR(__xludf.UNSUPPORTED("""COMPUTED_VALUE"""),"Gilbert")</f>
        <v>Gilbert</v>
      </c>
      <c r="C20" s="15" t="str">
        <f ca="1">IFERROR(__xludf.UNSUPPORTED("""COMPUTED_VALUE"""),"Ballinrobe")</f>
        <v>Ballinrobe</v>
      </c>
      <c r="D20" s="15" t="str">
        <f ca="1">IFERROR(__xludf.UNSUPPORTED("""COMPUTED_VALUE"""),"Phantom of the Opera")</f>
        <v>Phantom of the Opera</v>
      </c>
      <c r="E20" s="18">
        <f ca="1">IFERROR(__xludf.UNSUPPORTED("""COMPUTED_VALUE"""),45333)</f>
        <v>45333</v>
      </c>
      <c r="F20" s="23">
        <f ca="1">IFERROR(__xludf.UNSUPPORTED("""COMPUTED_VALUE"""),45340)</f>
        <v>45340</v>
      </c>
      <c r="G20" s="15"/>
      <c r="H20" s="15" t="str">
        <f ca="1">IFERROR(__xludf.UNSUPPORTED("""COMPUTED_VALUE"""),"Alan Greaney")</f>
        <v>Alan Greaney</v>
      </c>
      <c r="I20" s="15" t="str">
        <f ca="1">IFERROR(__xludf.UNSUPPORTED("""COMPUTED_VALUE"""),"Aoife McClafferty")</f>
        <v>Aoife McClafferty</v>
      </c>
      <c r="J20" s="14" t="str">
        <f ca="1">IFERROR(__xludf.UNSUPPORTED("""COMPUTED_VALUE"""),"Finola Higgins")</f>
        <v>Finola Higgins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ht="12.75" x14ac:dyDescent="0.2">
      <c r="A21" s="15" t="str">
        <f ca="1">IFERROR(__xludf.UNSUPPORTED("""COMPUTED_VALUE"""),"South-Western")</f>
        <v>South-Western</v>
      </c>
      <c r="B21" s="15" t="str">
        <f ca="1">IFERROR(__xludf.UNSUPPORTED("""COMPUTED_VALUE"""),"Gilbert")</f>
        <v>Gilbert</v>
      </c>
      <c r="C21" s="15" t="str">
        <f ca="1">IFERROR(__xludf.UNSUPPORTED("""COMPUTED_VALUE"""),"Shannon MS")</f>
        <v>Shannon MS</v>
      </c>
      <c r="D21" s="15" t="str">
        <f ca="1">IFERROR(__xludf.UNSUPPORTED("""COMPUTED_VALUE"""),"The Little Mermaid")</f>
        <v>The Little Mermaid</v>
      </c>
      <c r="E21" s="18">
        <f ca="1">IFERROR(__xludf.UNSUPPORTED("""COMPUTED_VALUE"""),45333)</f>
        <v>45333</v>
      </c>
      <c r="F21" s="23">
        <f ca="1">IFERROR(__xludf.UNSUPPORTED("""COMPUTED_VALUE"""),45339)</f>
        <v>45339</v>
      </c>
      <c r="G21" s="15"/>
      <c r="H21" s="15" t="str">
        <f ca="1">IFERROR(__xludf.UNSUPPORTED("""COMPUTED_VALUE"""),"Tony Finnegan")</f>
        <v>Tony Finnegan</v>
      </c>
      <c r="I21" s="15" t="str">
        <f ca="1">IFERROR(__xludf.UNSUPPORTED("""COMPUTED_VALUE"""),"Karen Barrett")</f>
        <v>Karen Barrett</v>
      </c>
      <c r="J21" s="14" t="str">
        <f ca="1">IFERROR(__xludf.UNSUPPORTED("""COMPUTED_VALUE"""),"Shane Farrell")</f>
        <v>Shane Farrell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ht="12.75" x14ac:dyDescent="0.2">
      <c r="A22" s="15" t="str">
        <f ca="1">IFERROR(__xludf.UNSUPPORTED("""COMPUTED_VALUE"""),"Eastern")</f>
        <v>Eastern</v>
      </c>
      <c r="B22" s="14" t="str">
        <f ca="1">IFERROR(__xludf.UNSUPPORTED("""COMPUTED_VALUE"""),"Gilbert")</f>
        <v>Gilbert</v>
      </c>
      <c r="C22" s="15" t="str">
        <f ca="1">IFERROR(__xludf.UNSUPPORTED("""COMPUTED_VALUE"""),"Trim")</f>
        <v>Trim</v>
      </c>
      <c r="D22" s="15" t="str">
        <f ca="1">IFERROR(__xludf.UNSUPPORTED("""COMPUTED_VALUE"""),"9 to 5 ")</f>
        <v xml:space="preserve">9 to 5 </v>
      </c>
      <c r="E22" s="16">
        <f ca="1">IFERROR(__xludf.UNSUPPORTED("""COMPUTED_VALUE"""),45334)</f>
        <v>45334</v>
      </c>
      <c r="F22" s="23">
        <f ca="1">IFERROR(__xludf.UNSUPPORTED("""COMPUTED_VALUE"""),45339)</f>
        <v>45339</v>
      </c>
      <c r="G22" s="15"/>
      <c r="H22" s="15" t="str">
        <f ca="1">IFERROR(__xludf.UNSUPPORTED("""COMPUTED_VALUE"""),"Stephen Acton")</f>
        <v>Stephen Acton</v>
      </c>
      <c r="I22" s="15" t="str">
        <f ca="1">IFERROR(__xludf.UNSUPPORTED("""COMPUTED_VALUE"""),"Laura Douglas")</f>
        <v>Laura Douglas</v>
      </c>
      <c r="J22" s="14" t="str">
        <f ca="1">IFERROR(__xludf.UNSUPPORTED("""COMPUTED_VALUE"""),"Dermot O'Callaghan")</f>
        <v>Dermot O'Callaghan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ht="12.75" x14ac:dyDescent="0.2">
      <c r="A23" s="15" t="str">
        <f ca="1">IFERROR(__xludf.UNSUPPORTED("""COMPUTED_VALUE"""),"South-Western")</f>
        <v>South-Western</v>
      </c>
      <c r="B23" s="15" t="str">
        <f ca="1">IFERROR(__xludf.UNSUPPORTED("""COMPUTED_VALUE"""),"Gilbert")</f>
        <v>Gilbert</v>
      </c>
      <c r="C23" s="15" t="str">
        <f ca="1">IFERROR(__xludf.UNSUPPORTED("""COMPUTED_VALUE"""),"Tipperary")</f>
        <v>Tipperary</v>
      </c>
      <c r="D23" s="15" t="str">
        <f ca="1">IFERROR(__xludf.UNSUPPORTED("""COMPUTED_VALUE"""),"Young Frankenstein")</f>
        <v>Young Frankenstein</v>
      </c>
      <c r="E23" s="18">
        <f ca="1">IFERROR(__xludf.UNSUPPORTED("""COMPUTED_VALUE"""),45334)</f>
        <v>45334</v>
      </c>
      <c r="F23" s="23">
        <f ca="1">IFERROR(__xludf.UNSUPPORTED("""COMPUTED_VALUE"""),45339)</f>
        <v>45339</v>
      </c>
      <c r="G23" s="15"/>
      <c r="H23" s="15" t="str">
        <f ca="1">IFERROR(__xludf.UNSUPPORTED("""COMPUTED_VALUE"""),"Paul Norton")</f>
        <v>Paul Norton</v>
      </c>
      <c r="I23" s="15" t="str">
        <f ca="1">IFERROR(__xludf.UNSUPPORTED("""COMPUTED_VALUE"""),"Stephanie Browne")</f>
        <v>Stephanie Browne</v>
      </c>
      <c r="J23" s="14" t="str">
        <f ca="1">IFERROR(__xludf.UNSUPPORTED("""COMPUTED_VALUE"""),"Mary Rose McNally")</f>
        <v>Mary Rose McNally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ht="12.75" x14ac:dyDescent="0.2">
      <c r="A24" s="15" t="str">
        <f ca="1">IFERROR(__xludf.UNSUPPORTED("""COMPUTED_VALUE"""),"Eastern")</f>
        <v>Eastern</v>
      </c>
      <c r="B24" s="15" t="str">
        <f ca="1">IFERROR(__xludf.UNSUPPORTED("""COMPUTED_VALUE"""),"Gilbert")</f>
        <v>Gilbert</v>
      </c>
      <c r="C24" s="15" t="str">
        <f ca="1">IFERROR(__xludf.UNSUPPORTED("""COMPUTED_VALUE"""),"Malahide")</f>
        <v>Malahide</v>
      </c>
      <c r="D24" s="15" t="str">
        <f ca="1">IFERROR(__xludf.UNSUPPORTED("""COMPUTED_VALUE"""),"Cry Baby")</f>
        <v>Cry Baby</v>
      </c>
      <c r="E24" s="18">
        <f ca="1">IFERROR(__xludf.UNSUPPORTED("""COMPUTED_VALUE"""),45335)</f>
        <v>45335</v>
      </c>
      <c r="F24" s="23">
        <f ca="1">IFERROR(__xludf.UNSUPPORTED("""COMPUTED_VALUE"""),45339)</f>
        <v>45339</v>
      </c>
      <c r="G24" s="15"/>
      <c r="H24" s="15" t="str">
        <f ca="1">IFERROR(__xludf.UNSUPPORTED("""COMPUTED_VALUE"""),"EJ Reilly")</f>
        <v>EJ Reilly</v>
      </c>
      <c r="I24" s="15" t="str">
        <f ca="1">IFERROR(__xludf.UNSUPPORTED("""COMPUTED_VALUE"""),"Jules McNamra")</f>
        <v>Jules McNamra</v>
      </c>
      <c r="J24" s="14" t="str">
        <f ca="1">IFERROR(__xludf.UNSUPPORTED("""COMPUTED_VALUE"""),"Dave McGauran")</f>
        <v>Dave McGauran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ht="12.75" x14ac:dyDescent="0.2">
      <c r="A25" s="15" t="str">
        <f ca="1">IFERROR(__xludf.UNSUPPORTED("""COMPUTED_VALUE"""),"Eastern")</f>
        <v>Eastern</v>
      </c>
      <c r="B25" s="15" t="str">
        <f ca="1">IFERROR(__xludf.UNSUPPORTED("""COMPUTED_VALUE"""),"Gilbert")</f>
        <v>Gilbert</v>
      </c>
      <c r="C25" s="15" t="str">
        <f ca="1">IFERROR(__xludf.UNSUPPORTED("""COMPUTED_VALUE"""),"Entr'acte")</f>
        <v>Entr'acte</v>
      </c>
      <c r="D25" s="15" t="str">
        <f ca="1">IFERROR(__xludf.UNSUPPORTED("""COMPUTED_VALUE"""),"Guys and Dolls")</f>
        <v>Guys and Dolls</v>
      </c>
      <c r="E25" s="22">
        <f ca="1">IFERROR(__xludf.UNSUPPORTED("""COMPUTED_VALUE"""),45350)</f>
        <v>45350</v>
      </c>
      <c r="F25" s="23">
        <f ca="1">IFERROR(__xludf.UNSUPPORTED("""COMPUTED_VALUE"""),45353)</f>
        <v>45353</v>
      </c>
      <c r="G25" s="15"/>
      <c r="H25" s="15" t="str">
        <f ca="1">IFERROR(__xludf.UNSUPPORTED("""COMPUTED_VALUE"""),"Niamh McGowan")</f>
        <v>Niamh McGowan</v>
      </c>
      <c r="I25" s="15" t="str">
        <f ca="1">IFERROR(__xludf.UNSUPPORTED("""COMPUTED_VALUE"""),"Leah Meagher")</f>
        <v>Leah Meagher</v>
      </c>
      <c r="J25" s="14" t="str">
        <f ca="1">IFERROR(__xludf.UNSUPPORTED("""COMPUTED_VALUE"""),"Roisin Heenan")</f>
        <v>Roisin Heenan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ht="12.75" x14ac:dyDescent="0.2">
      <c r="A26" s="15" t="str">
        <f ca="1">IFERROR(__xludf.UNSUPPORTED("""COMPUTED_VALUE"""),"Midlands")</f>
        <v>Midlands</v>
      </c>
      <c r="B26" s="15" t="str">
        <f ca="1">IFERROR(__xludf.UNSUPPORTED("""COMPUTED_VALUE"""),"Gilbert")</f>
        <v>Gilbert</v>
      </c>
      <c r="C26" s="15" t="str">
        <f ca="1">IFERROR(__xludf.UNSUPPORTED("""COMPUTED_VALUE"""),"Athlone MS")</f>
        <v>Athlone MS</v>
      </c>
      <c r="D26" s="15" t="str">
        <f ca="1">IFERROR(__xludf.UNSUPPORTED("""COMPUTED_VALUE"""),"Urinetown")</f>
        <v>Urinetown</v>
      </c>
      <c r="E26" s="18">
        <f ca="1">IFERROR(__xludf.UNSUPPORTED("""COMPUTED_VALUE"""),45352)</f>
        <v>45352</v>
      </c>
      <c r="F26" s="23">
        <f ca="1">IFERROR(__xludf.UNSUPPORTED("""COMPUTED_VALUE"""),45360)</f>
        <v>45360</v>
      </c>
      <c r="G26" s="15"/>
      <c r="H26" s="15" t="str">
        <f ca="1">IFERROR(__xludf.UNSUPPORTED("""COMPUTED_VALUE"""),"Alfie Kilduff")</f>
        <v>Alfie Kilduff</v>
      </c>
      <c r="I26" s="15" t="str">
        <f ca="1">IFERROR(__xludf.UNSUPPORTED("""COMPUTED_VALUE"""),"Chris Corroon")</f>
        <v>Chris Corroon</v>
      </c>
      <c r="J26" s="14" t="str">
        <f ca="1">IFERROR(__xludf.UNSUPPORTED("""COMPUTED_VALUE"""),"Ger Madden")</f>
        <v>Ger Madden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ht="12.75" x14ac:dyDescent="0.2">
      <c r="A27" s="15" t="str">
        <f ca="1">IFERROR(__xludf.UNSUPPORTED("""COMPUTED_VALUE"""),"South-Eastern")</f>
        <v>South-Eastern</v>
      </c>
      <c r="B27" s="15" t="str">
        <f ca="1">IFERROR(__xludf.UNSUPPORTED("""COMPUTED_VALUE"""),"Gilbert")</f>
        <v>Gilbert</v>
      </c>
      <c r="C27" s="15" t="str">
        <f ca="1">IFERROR(__xludf.UNSUPPORTED("""COMPUTED_VALUE"""),"NRMS")</f>
        <v>NRMS</v>
      </c>
      <c r="D27" s="15" t="str">
        <f ca="1">IFERROR(__xludf.UNSUPPORTED("""COMPUTED_VALUE"""),"Fiddler on the Roof")</f>
        <v>Fiddler on the Roof</v>
      </c>
      <c r="E27" s="24">
        <f ca="1">IFERROR(__xludf.UNSUPPORTED("""COMPUTED_VALUE"""),45356)</f>
        <v>45356</v>
      </c>
      <c r="F27" s="23">
        <f ca="1">IFERROR(__xludf.UNSUPPORTED("""COMPUTED_VALUE"""),45360)</f>
        <v>45360</v>
      </c>
      <c r="G27" s="14"/>
      <c r="H27" s="14" t="str">
        <f ca="1">IFERROR(__xludf.UNSUPPORTED("""COMPUTED_VALUE"""),"Derek Shannon")</f>
        <v>Derek Shannon</v>
      </c>
      <c r="I27" s="14" t="str">
        <f ca="1">IFERROR(__xludf.UNSUPPORTED("""COMPUTED_VALUE"""),"Anne-Marie Cooney")</f>
        <v>Anne-Marie Cooney</v>
      </c>
      <c r="J27" s="14" t="str">
        <f ca="1">IFERROR(__xludf.UNSUPPORTED("""COMPUTED_VALUE"""),"Jimmy Brockie")</f>
        <v>Jimmy Brockie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ht="12.75" x14ac:dyDescent="0.2">
      <c r="A28" s="15" t="str">
        <f ca="1">IFERROR(__xludf.UNSUPPORTED("""COMPUTED_VALUE"""),"Eastern")</f>
        <v>Eastern</v>
      </c>
      <c r="B28" s="15" t="str">
        <f ca="1">IFERROR(__xludf.UNSUPPORTED("""COMPUTED_VALUE"""),"Gilbert")</f>
        <v>Gilbert</v>
      </c>
      <c r="C28" s="15" t="str">
        <f ca="1">IFERROR(__xludf.UNSUPPORTED("""COMPUTED_VALUE"""),"UCD")</f>
        <v>UCD</v>
      </c>
      <c r="D28" s="15" t="str">
        <f ca="1">IFERROR(__xludf.UNSUPPORTED("""COMPUTED_VALUE"""),"Gypsy")</f>
        <v>Gypsy</v>
      </c>
      <c r="E28" s="22">
        <f ca="1">IFERROR(__xludf.UNSUPPORTED("""COMPUTED_VALUE"""),45357)</f>
        <v>45357</v>
      </c>
      <c r="F28" s="23">
        <f ca="1">IFERROR(__xludf.UNSUPPORTED("""COMPUTED_VALUE"""),45360)</f>
        <v>45360</v>
      </c>
      <c r="G28" s="15"/>
      <c r="H28" s="15" t="str">
        <f ca="1">IFERROR(__xludf.UNSUPPORTED("""COMPUTED_VALUE"""),"Aoife Joy Keogh")</f>
        <v>Aoife Joy Keogh</v>
      </c>
      <c r="I28" s="15" t="str">
        <f ca="1">IFERROR(__xludf.UNSUPPORTED("""COMPUTED_VALUE"""),"Megan O'Neill")</f>
        <v>Megan O'Neill</v>
      </c>
      <c r="J28" s="14" t="str">
        <f ca="1">IFERROR(__xludf.UNSUPPORTED("""COMPUTED_VALUE"""),"Dermot Edmondson")</f>
        <v>Dermot Edmondson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ht="12.75" x14ac:dyDescent="0.2">
      <c r="A29" s="15" t="str">
        <f ca="1">IFERROR(__xludf.UNSUPPORTED("""COMPUTED_VALUE"""),"Eastern")</f>
        <v>Eastern</v>
      </c>
      <c r="B29" s="14" t="str">
        <f ca="1">IFERROR(__xludf.UNSUPPORTED("""COMPUTED_VALUE"""),"Gilbert")</f>
        <v>Gilbert</v>
      </c>
      <c r="C29" s="15" t="str">
        <f ca="1">IFERROR(__xludf.UNSUPPORTED("""COMPUTED_VALUE"""),"Teachers")</f>
        <v>Teachers</v>
      </c>
      <c r="D29" s="15" t="str">
        <f ca="1">IFERROR(__xludf.UNSUPPORTED("""COMPUTED_VALUE"""),"Hunchback of Notre Dame")</f>
        <v>Hunchback of Notre Dame</v>
      </c>
      <c r="E29" s="16">
        <f ca="1">IFERROR(__xludf.UNSUPPORTED("""COMPUTED_VALUE"""),45363)</f>
        <v>45363</v>
      </c>
      <c r="F29" s="23">
        <f ca="1">IFERROR(__xludf.UNSUPPORTED("""COMPUTED_VALUE"""),45367)</f>
        <v>45367</v>
      </c>
      <c r="G29" s="15"/>
      <c r="H29" s="15" t="str">
        <f ca="1">IFERROR(__xludf.UNSUPPORTED("""COMPUTED_VALUE"""),"Ciarán Mooney")</f>
        <v>Ciarán Mooney</v>
      </c>
      <c r="I29" s="15" t="str">
        <f ca="1">IFERROR(__xludf.UNSUPPORTED("""COMPUTED_VALUE"""),"Ciarán Mooney &amp; Nicole McDonald")</f>
        <v>Ciarán Mooney &amp; Nicole McDonald</v>
      </c>
      <c r="J29" s="14" t="str">
        <f ca="1">IFERROR(__xludf.UNSUPPORTED("""COMPUTED_VALUE"""),"Dermot O'Callaghan")</f>
        <v>Dermot O'Callaghan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ht="12.75" x14ac:dyDescent="0.2">
      <c r="A30" s="15" t="str">
        <f ca="1">IFERROR(__xludf.UNSUPPORTED("""COMPUTED_VALUE"""),"Northern")</f>
        <v>Northern</v>
      </c>
      <c r="B30" s="15" t="str">
        <f ca="1">IFERROR(__xludf.UNSUPPORTED("""COMPUTED_VALUE"""),"Gilbert")</f>
        <v>Gilbert</v>
      </c>
      <c r="C30" s="15" t="str">
        <f ca="1">IFERROR(__xludf.UNSUPPORTED("""COMPUTED_VALUE"""),"Newcastle Glees")</f>
        <v>Newcastle Glees</v>
      </c>
      <c r="D30" s="15" t="str">
        <f ca="1">IFERROR(__xludf.UNSUPPORTED("""COMPUTED_VALUE"""),"Calendar Girls")</f>
        <v>Calendar Girls</v>
      </c>
      <c r="E30" s="18">
        <f ca="1">IFERROR(__xludf.UNSUPPORTED("""COMPUTED_VALUE"""),45365)</f>
        <v>45365</v>
      </c>
      <c r="F30" s="23">
        <f ca="1">IFERROR(__xludf.UNSUPPORTED("""COMPUTED_VALUE"""),45374)</f>
        <v>45374</v>
      </c>
      <c r="G30" s="15"/>
      <c r="H30" s="15" t="str">
        <f ca="1">IFERROR(__xludf.UNSUPPORTED("""COMPUTED_VALUE"""),"Laura Kerr")</f>
        <v>Laura Kerr</v>
      </c>
      <c r="I30" s="15" t="str">
        <f ca="1">IFERROR(__xludf.UNSUPPORTED("""COMPUTED_VALUE"""),"Clare Donnelly")</f>
        <v>Clare Donnelly</v>
      </c>
      <c r="J30" s="14" t="str">
        <f ca="1">IFERROR(__xludf.UNSUPPORTED("""COMPUTED_VALUE"""),"Mary Tilley")</f>
        <v>Mary Tilley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ht="12.75" x14ac:dyDescent="0.2">
      <c r="A31" s="15" t="str">
        <f ca="1">IFERROR(__xludf.UNSUPPORTED("""COMPUTED_VALUE"""),"South-Western")</f>
        <v>South-Western</v>
      </c>
      <c r="B31" s="15" t="str">
        <f ca="1">IFERROR(__xludf.UNSUPPORTED("""COMPUTED_VALUE"""),"Gilbert")</f>
        <v>Gilbert</v>
      </c>
      <c r="C31" s="15" t="str">
        <f ca="1">IFERROR(__xludf.UNSUPPORTED("""COMPUTED_VALUE"""),"Thurles")</f>
        <v>Thurles</v>
      </c>
      <c r="D31" s="15" t="str">
        <f ca="1">IFERROR(__xludf.UNSUPPORTED("""COMPUTED_VALUE"""),"Big Fish")</f>
        <v>Big Fish</v>
      </c>
      <c r="E31" s="16">
        <f ca="1">IFERROR(__xludf.UNSUPPORTED("""COMPUTED_VALUE"""),45370)</f>
        <v>45370</v>
      </c>
      <c r="F31" s="23">
        <f ca="1">IFERROR(__xludf.UNSUPPORTED("""COMPUTED_VALUE"""),45374)</f>
        <v>45374</v>
      </c>
      <c r="G31" s="15"/>
      <c r="H31" s="15" t="str">
        <f ca="1">IFERROR(__xludf.UNSUPPORTED("""COMPUTED_VALUE"""),"Oliver Hurley")</f>
        <v>Oliver Hurley</v>
      </c>
      <c r="I31" s="15" t="str">
        <f ca="1">IFERROR(__xludf.UNSUPPORTED("""COMPUTED_VALUE"""),"Oliver Hurley")</f>
        <v>Oliver Hurley</v>
      </c>
      <c r="J31" s="14" t="str">
        <f ca="1">IFERROR(__xludf.UNSUPPORTED("""COMPUTED_VALUE"""),"Mary Rose McNally")</f>
        <v>Mary Rose McNally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ht="12.75" x14ac:dyDescent="0.2">
      <c r="A32" s="15" t="str">
        <f ca="1">IFERROR(__xludf.UNSUPPORTED("""COMPUTED_VALUE"""),"South-Eastern")</f>
        <v>South-Eastern</v>
      </c>
      <c r="B32" s="15" t="str">
        <f ca="1">IFERROR(__xludf.UNSUPPORTED("""COMPUTED_VALUE"""),"Gilbert")</f>
        <v>Gilbert</v>
      </c>
      <c r="C32" s="15" t="str">
        <f ca="1">IFERROR(__xludf.UNSUPPORTED("""COMPUTED_VALUE"""),"DHMDS")</f>
        <v>DHMDS</v>
      </c>
      <c r="D32" s="15" t="str">
        <f ca="1">IFERROR(__xludf.UNSUPPORTED("""COMPUTED_VALUE"""),"Beautiful : Carole King")</f>
        <v>Beautiful : Carole King</v>
      </c>
      <c r="E32" s="22">
        <f ca="1">IFERROR(__xludf.UNSUPPORTED("""COMPUTED_VALUE"""),45376)</f>
        <v>45376</v>
      </c>
      <c r="F32" s="23">
        <f ca="1">IFERROR(__xludf.UNSUPPORTED("""COMPUTED_VALUE"""),45381)</f>
        <v>45381</v>
      </c>
      <c r="G32" s="15"/>
      <c r="H32" s="15" t="str">
        <f ca="1">IFERROR(__xludf.UNSUPPORTED("""COMPUTED_VALUE"""),"David Hennessy")</f>
        <v>David Hennessy</v>
      </c>
      <c r="I32" s="15" t="str">
        <f ca="1">IFERROR(__xludf.UNSUPPORTED("""COMPUTED_VALUE"""),"Michelle Condon")</f>
        <v>Michelle Condon</v>
      </c>
      <c r="J32" s="14" t="str">
        <f ca="1">IFERROR(__xludf.UNSUPPORTED("""COMPUTED_VALUE"""),"Jimmy Brockie")</f>
        <v>Jimmy Brockie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ht="12.75" x14ac:dyDescent="0.2">
      <c r="A33" s="15" t="str">
        <f ca="1">IFERROR(__xludf.UNSUPPORTED("""COMPUTED_VALUE"""),"South-Western")</f>
        <v>South-Western</v>
      </c>
      <c r="B33" s="15" t="str">
        <f ca="1">IFERROR(__xludf.UNSUPPORTED("""COMPUTED_VALUE"""),"Gilbert")</f>
        <v>Gilbert</v>
      </c>
      <c r="C33" s="15" t="str">
        <f ca="1">IFERROR(__xludf.UNSUPPORTED("""COMPUTED_VALUE"""),"Ennis Musical Society")</f>
        <v>Ennis Musical Society</v>
      </c>
      <c r="D33" s="15" t="str">
        <f ca="1">IFERROR(__xludf.UNSUPPORTED("""COMPUTED_VALUE"""),"The Wedding Singer")</f>
        <v>The Wedding Singer</v>
      </c>
      <c r="E33" s="22">
        <f ca="1">IFERROR(__xludf.UNSUPPORTED("""COMPUTED_VALUE"""),45378)</f>
        <v>45378</v>
      </c>
      <c r="F33" s="23">
        <f ca="1">IFERROR(__xludf.UNSUPPORTED("""COMPUTED_VALUE"""),45378)</f>
        <v>45378</v>
      </c>
      <c r="G33" s="15"/>
      <c r="H33" s="15" t="str">
        <f ca="1">IFERROR(__xludf.UNSUPPORTED("""COMPUTED_VALUE"""),"Jessica Bray")</f>
        <v>Jessica Bray</v>
      </c>
      <c r="I33" s="15" t="str">
        <f ca="1">IFERROR(__xludf.UNSUPPORTED("""COMPUTED_VALUE"""),"Laura Kane Allis")</f>
        <v>Laura Kane Allis</v>
      </c>
      <c r="J33" s="14" t="str">
        <f ca="1">IFERROR(__xludf.UNSUPPORTED("""COMPUTED_VALUE"""),"Shane Farrell")</f>
        <v>Shane Farrell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 ht="12.75" x14ac:dyDescent="0.2">
      <c r="A34" s="15" t="str">
        <f ca="1">IFERROR(__xludf.UNSUPPORTED("""COMPUTED_VALUE"""),"Midlands")</f>
        <v>Midlands</v>
      </c>
      <c r="B34" s="15" t="str">
        <f ca="1">IFERROR(__xludf.UNSUPPORTED("""COMPUTED_VALUE"""),"Gilbert")</f>
        <v>Gilbert</v>
      </c>
      <c r="C34" s="15" t="str">
        <f ca="1">IFERROR(__xludf.UNSUPPORTED("""COMPUTED_VALUE"""),"Newbridge")</f>
        <v>Newbridge</v>
      </c>
      <c r="D34" s="15" t="str">
        <f ca="1">IFERROR(__xludf.UNSUPPORTED("""COMPUTED_VALUE"""),"Legally Blonde")</f>
        <v>Legally Blonde</v>
      </c>
      <c r="E34" s="22">
        <f ca="1">IFERROR(__xludf.UNSUPPORTED("""COMPUTED_VALUE"""),45383)</f>
        <v>45383</v>
      </c>
      <c r="F34" s="23">
        <f ca="1">IFERROR(__xludf.UNSUPPORTED("""COMPUTED_VALUE"""),45388)</f>
        <v>45388</v>
      </c>
      <c r="G34" s="12"/>
      <c r="H34" s="12" t="str">
        <f ca="1">IFERROR(__xludf.UNSUPPORTED("""COMPUTED_VALUE"""),"Art McGauran")</f>
        <v>Art McGauran</v>
      </c>
      <c r="I34" s="12" t="str">
        <f ca="1">IFERROR(__xludf.UNSUPPORTED("""COMPUTED_VALUE"""),"Aine Foley")</f>
        <v>Aine Foley</v>
      </c>
      <c r="J34" s="14" t="str">
        <f ca="1">IFERROR(__xludf.UNSUPPORTED("""COMPUTED_VALUE"""),"Dave McGauran")</f>
        <v>Dave McGauran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1:28" ht="12.75" x14ac:dyDescent="0.2">
      <c r="A35" s="15" t="str">
        <f ca="1">IFERROR(__xludf.UNSUPPORTED("""COMPUTED_VALUE"""),"South-Eastern")</f>
        <v>South-Eastern</v>
      </c>
      <c r="B35" s="15" t="str">
        <f ca="1">IFERROR(__xludf.UNSUPPORTED("""COMPUTED_VALUE"""),"Gilbert")</f>
        <v>Gilbert</v>
      </c>
      <c r="C35" s="15" t="str">
        <f ca="1">IFERROR(__xludf.UNSUPPORTED("""COMPUTED_VALUE"""),"Avonmore MS")</f>
        <v>Avonmore MS</v>
      </c>
      <c r="D35" s="15" t="str">
        <f ca="1">IFERROR(__xludf.UNSUPPORTED("""COMPUTED_VALUE"""),"Little Mermaid")</f>
        <v>Little Mermaid</v>
      </c>
      <c r="E35" s="22">
        <f ca="1">IFERROR(__xludf.UNSUPPORTED("""COMPUTED_VALUE"""),45384)</f>
        <v>45384</v>
      </c>
      <c r="F35" s="23">
        <f ca="1">IFERROR(__xludf.UNSUPPORTED("""COMPUTED_VALUE"""),45388)</f>
        <v>45388</v>
      </c>
      <c r="G35" s="14"/>
      <c r="H35" s="14" t="str">
        <f ca="1">IFERROR(__xludf.UNSUPPORTED("""COMPUTED_VALUE"""),"David Hennessy")</f>
        <v>David Hennessy</v>
      </c>
      <c r="I35" s="14" t="str">
        <f ca="1">IFERROR(__xludf.UNSUPPORTED("""COMPUTED_VALUE"""),"Martina Lynch")</f>
        <v>Martina Lynch</v>
      </c>
      <c r="J35" s="14" t="str">
        <f ca="1">IFERROR(__xludf.UNSUPPORTED("""COMPUTED_VALUE"""),"Naoimh Penston")</f>
        <v>Naoimh Penston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 ht="12.75" x14ac:dyDescent="0.2">
      <c r="A36" s="15" t="str">
        <f ca="1">IFERROR(__xludf.UNSUPPORTED("""COMPUTED_VALUE"""),"Eastern")</f>
        <v>Eastern</v>
      </c>
      <c r="B36" s="15" t="str">
        <f ca="1">IFERROR(__xludf.UNSUPPORTED("""COMPUTED_VALUE"""),"Gilbert")</f>
        <v>Gilbert</v>
      </c>
      <c r="C36" s="15" t="str">
        <f ca="1">IFERROR(__xludf.UNSUPPORTED("""COMPUTED_VALUE"""),"Kilcock")</f>
        <v>Kilcock</v>
      </c>
      <c r="D36" s="15" t="str">
        <f ca="1">IFERROR(__xludf.UNSUPPORTED("""COMPUTED_VALUE"""),"Rock of Ages")</f>
        <v>Rock of Ages</v>
      </c>
      <c r="E36" s="22">
        <f ca="1">IFERROR(__xludf.UNSUPPORTED("""COMPUTED_VALUE"""),45384)</f>
        <v>45384</v>
      </c>
      <c r="F36" s="23">
        <f ca="1">IFERROR(__xludf.UNSUPPORTED("""COMPUTED_VALUE"""),45388)</f>
        <v>45388</v>
      </c>
      <c r="G36" s="15"/>
      <c r="H36" s="15" t="str">
        <f ca="1">IFERROR(__xludf.UNSUPPORTED("""COMPUTED_VALUE"""),"Dominic Reid")</f>
        <v>Dominic Reid</v>
      </c>
      <c r="I36" s="15" t="str">
        <f ca="1">IFERROR(__xludf.UNSUPPORTED("""COMPUTED_VALUE"""),"Deirdre Browne")</f>
        <v>Deirdre Browne</v>
      </c>
      <c r="J36" s="14" t="str">
        <f ca="1">IFERROR(__xludf.UNSUPPORTED("""COMPUTED_VALUE"""),"Mairead McKenna")</f>
        <v>Mairead McKenna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ht="12.75" x14ac:dyDescent="0.2">
      <c r="A37" s="15" t="str">
        <f ca="1">IFERROR(__xludf.UNSUPPORTED("""COMPUTED_VALUE"""),"Eastern")</f>
        <v>Eastern</v>
      </c>
      <c r="B37" s="15" t="str">
        <f ca="1">IFERROR(__xludf.UNSUPPORTED("""COMPUTED_VALUE"""),"Gilbert")</f>
        <v>Gilbert</v>
      </c>
      <c r="C37" s="15" t="str">
        <f ca="1">IFERROR(__xludf.UNSUPPORTED("""COMPUTED_VALUE"""),"Dunboyne")</f>
        <v>Dunboyne</v>
      </c>
      <c r="D37" s="15" t="str">
        <f ca="1">IFERROR(__xludf.UNSUPPORTED("""COMPUTED_VALUE"""),"The Addams Family")</f>
        <v>The Addams Family</v>
      </c>
      <c r="E37" s="22">
        <f ca="1">IFERROR(__xludf.UNSUPPORTED("""COMPUTED_VALUE"""),45385)</f>
        <v>45385</v>
      </c>
      <c r="F37" s="23">
        <f ca="1">IFERROR(__xludf.UNSUPPORTED("""COMPUTED_VALUE"""),45388)</f>
        <v>45388</v>
      </c>
      <c r="G37" s="15"/>
      <c r="H37" s="15" t="str">
        <f ca="1">IFERROR(__xludf.UNSUPPORTED("""COMPUTED_VALUE"""),"Orla Mulreid Deane")</f>
        <v>Orla Mulreid Deane</v>
      </c>
      <c r="I37" s="15" t="str">
        <f ca="1">IFERROR(__xludf.UNSUPPORTED("""COMPUTED_VALUE"""),"Gráinne Kennedy")</f>
        <v>Gráinne Kennedy</v>
      </c>
      <c r="J37" s="14" t="str">
        <f ca="1">IFERROR(__xludf.UNSUPPORTED("""COMPUTED_VALUE"""),"Emer Hartnett")</f>
        <v>Emer Hartnett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 ht="12.75" x14ac:dyDescent="0.2">
      <c r="A38" s="15" t="str">
        <f ca="1">IFERROR(__xludf.UNSUPPORTED("""COMPUTED_VALUE"""),"Eastern")</f>
        <v>Eastern</v>
      </c>
      <c r="B38" s="15" t="str">
        <f ca="1">IFERROR(__xludf.UNSUPPORTED("""COMPUTED_VALUE"""),"Gilbert")</f>
        <v>Gilbert</v>
      </c>
      <c r="C38" s="15" t="str">
        <f ca="1">IFERROR(__xludf.UNSUPPORTED("""COMPUTED_VALUE"""),"Rush")</f>
        <v>Rush</v>
      </c>
      <c r="D38" s="15" t="str">
        <f ca="1">IFERROR(__xludf.UNSUPPORTED("""COMPUTED_VALUE"""),"Pirates of Penzance")</f>
        <v>Pirates of Penzance</v>
      </c>
      <c r="E38" s="18">
        <f ca="1">IFERROR(__xludf.UNSUPPORTED("""COMPUTED_VALUE"""),45385)</f>
        <v>45385</v>
      </c>
      <c r="F38" s="23">
        <f ca="1">IFERROR(__xludf.UNSUPPORTED("""COMPUTED_VALUE"""),45396)</f>
        <v>45396</v>
      </c>
      <c r="G38" s="15"/>
      <c r="H38" s="15" t="str">
        <f ca="1">IFERROR(__xludf.UNSUPPORTED("""COMPUTED_VALUE"""),"Wilfie Pyper")</f>
        <v>Wilfie Pyper</v>
      </c>
      <c r="I38" s="15" t="str">
        <f ca="1">IFERROR(__xludf.UNSUPPORTED("""COMPUTED_VALUE"""),"Leah Meagher")</f>
        <v>Leah Meagher</v>
      </c>
      <c r="J38" s="14" t="str">
        <f ca="1">IFERROR(__xludf.UNSUPPORTED("""COMPUTED_VALUE"""),"Sarah Lynch Barrett")</f>
        <v>Sarah Lynch Barrett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 ht="12.75" x14ac:dyDescent="0.2">
      <c r="A39" s="15" t="str">
        <f ca="1">IFERROR(__xludf.UNSUPPORTED("""COMPUTED_VALUE"""),"South-Western")</f>
        <v>South-Western</v>
      </c>
      <c r="B39" s="15" t="str">
        <f ca="1">IFERROR(__xludf.UNSUPPORTED("""COMPUTED_VALUE"""),"Gilbert")</f>
        <v>Gilbert</v>
      </c>
      <c r="C39" s="15" t="str">
        <f ca="1">IFERROR(__xludf.UNSUPPORTED("""COMPUTED_VALUE"""),"St Mary's Clonmel")</f>
        <v>St Mary's Clonmel</v>
      </c>
      <c r="D39" s="15" t="str">
        <f ca="1">IFERROR(__xludf.UNSUPPORTED("""COMPUTED_VALUE"""),"Evita")</f>
        <v>Evita</v>
      </c>
      <c r="E39" s="18">
        <f ca="1">IFERROR(__xludf.UNSUPPORTED("""COMPUTED_VALUE"""),45390)</f>
        <v>45390</v>
      </c>
      <c r="F39" s="23">
        <f ca="1">IFERROR(__xludf.UNSUPPORTED("""COMPUTED_VALUE"""),45395)</f>
        <v>45395</v>
      </c>
      <c r="G39" s="15"/>
      <c r="H39" s="15"/>
      <c r="I39" s="15"/>
      <c r="J39" s="14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 ht="12.75" x14ac:dyDescent="0.2">
      <c r="A40" s="15" t="str">
        <f ca="1">IFERROR(__xludf.UNSUPPORTED("""COMPUTED_VALUE"""),"South-Eastern")</f>
        <v>South-Eastern</v>
      </c>
      <c r="B40" s="15" t="str">
        <f ca="1">IFERROR(__xludf.UNSUPPORTED("""COMPUTED_VALUE"""),"Gilbert")</f>
        <v>Gilbert</v>
      </c>
      <c r="C40" s="15" t="str">
        <f ca="1">IFERROR(__xludf.UNSUPPORTED("""COMPUTED_VALUE"""),"Gorey")</f>
        <v>Gorey</v>
      </c>
      <c r="D40" s="15" t="str">
        <f ca="1">IFERROR(__xludf.UNSUPPORTED("""COMPUTED_VALUE"""),"Michael Collins ")</f>
        <v xml:space="preserve">Michael Collins </v>
      </c>
      <c r="E40" s="18">
        <f ca="1">IFERROR(__xludf.UNSUPPORTED("""COMPUTED_VALUE"""),45390)</f>
        <v>45390</v>
      </c>
      <c r="F40" s="23">
        <f ca="1">IFERROR(__xludf.UNSUPPORTED("""COMPUTED_VALUE"""),45395)</f>
        <v>45395</v>
      </c>
      <c r="G40" s="15"/>
      <c r="H40" s="15" t="str">
        <f ca="1">IFERROR(__xludf.UNSUPPORTED("""COMPUTED_VALUE"""),"Stephen Acton")</f>
        <v>Stephen Acton</v>
      </c>
      <c r="I40" s="15" t="str">
        <f ca="1">IFERROR(__xludf.UNSUPPORTED("""COMPUTED_VALUE"""),"Megan McEvoy")</f>
        <v>Megan McEvoy</v>
      </c>
      <c r="J40" s="14" t="str">
        <f ca="1">IFERROR(__xludf.UNSUPPORTED("""COMPUTED_VALUE"""),"Conor McCarthy")</f>
        <v>Conor McCarthy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ht="12.75" x14ac:dyDescent="0.2">
      <c r="A41" s="15" t="str">
        <f ca="1">IFERROR(__xludf.UNSUPPORTED("""COMPUTED_VALUE"""),"Eastern")</f>
        <v>Eastern</v>
      </c>
      <c r="B41" s="15" t="str">
        <f ca="1">IFERROR(__xludf.UNSUPPORTED("""COMPUTED_VALUE"""),"Gilbert")</f>
        <v>Gilbert</v>
      </c>
      <c r="C41" s="15" t="str">
        <f ca="1">IFERROR(__xludf.UNSUPPORTED("""COMPUTED_VALUE"""),"MU Musical Society")</f>
        <v>MU Musical Society</v>
      </c>
      <c r="D41" s="15" t="str">
        <f ca="1">IFERROR(__xludf.UNSUPPORTED("""COMPUTED_VALUE"""),"Cats")</f>
        <v>Cats</v>
      </c>
      <c r="E41" s="18">
        <f ca="1">IFERROR(__xludf.UNSUPPORTED("""COMPUTED_VALUE"""),45391)</f>
        <v>45391</v>
      </c>
      <c r="F41" s="23">
        <f ca="1">IFERROR(__xludf.UNSUPPORTED("""COMPUTED_VALUE"""),45394)</f>
        <v>45394</v>
      </c>
      <c r="G41" s="15"/>
      <c r="H41" s="15" t="str">
        <f ca="1">IFERROR(__xludf.UNSUPPORTED("""COMPUTED_VALUE"""),"Gavin Murphy")</f>
        <v>Gavin Murphy</v>
      </c>
      <c r="I41" s="15" t="str">
        <f ca="1">IFERROR(__xludf.UNSUPPORTED("""COMPUTED_VALUE"""),"Gavin Murphy (Asst. Amy Mulreid)")</f>
        <v>Gavin Murphy (Asst. Amy Mulreid)</v>
      </c>
      <c r="J41" s="14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ht="12.75" x14ac:dyDescent="0.2">
      <c r="A42" s="15" t="str">
        <f ca="1">IFERROR(__xludf.UNSUPPORTED("""COMPUTED_VALUE"""),"Western")</f>
        <v>Western</v>
      </c>
      <c r="B42" s="15" t="str">
        <f ca="1">IFERROR(__xludf.UNSUPPORTED("""COMPUTED_VALUE"""),"Gilbert")</f>
        <v>Gilbert</v>
      </c>
      <c r="C42" s="15" t="str">
        <f ca="1">IFERROR(__xludf.UNSUPPORTED("""COMPUTED_VALUE"""),"Galway")</f>
        <v>Galway</v>
      </c>
      <c r="D42" s="15" t="str">
        <f ca="1">IFERROR(__xludf.UNSUPPORTED("""COMPUTED_VALUE"""),"Oliver!")</f>
        <v>Oliver!</v>
      </c>
      <c r="E42" s="18">
        <f ca="1">IFERROR(__xludf.UNSUPPORTED("""COMPUTED_VALUE"""),45398)</f>
        <v>45398</v>
      </c>
      <c r="F42" s="23">
        <f ca="1">IFERROR(__xludf.UNSUPPORTED("""COMPUTED_VALUE"""),45402)</f>
        <v>45402</v>
      </c>
      <c r="G42" s="12"/>
      <c r="H42" s="12" t="str">
        <f ca="1">IFERROR(__xludf.UNSUPPORTED("""COMPUTED_VALUE"""),"Paul Norton")</f>
        <v>Paul Norton</v>
      </c>
      <c r="I42" s="12" t="str">
        <f ca="1">IFERROR(__xludf.UNSUPPORTED("""COMPUTED_VALUE"""),"Jay Molyneux")</f>
        <v>Jay Molyneux</v>
      </c>
      <c r="J42" s="14" t="str">
        <f ca="1">IFERROR(__xludf.UNSUPPORTED("""COMPUTED_VALUE"""),"John Roe")</f>
        <v>John Roe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 ht="12.75" x14ac:dyDescent="0.2">
      <c r="A43" s="15" t="str">
        <f ca="1">IFERROR(__xludf.UNSUPPORTED("""COMPUTED_VALUE"""),"South-Eastern")</f>
        <v>South-Eastern</v>
      </c>
      <c r="B43" s="15" t="str">
        <f ca="1">IFERROR(__xludf.UNSUPPORTED("""COMPUTED_VALUE"""),"Gilbert")</f>
        <v>Gilbert</v>
      </c>
      <c r="C43" s="15" t="str">
        <f ca="1">IFERROR(__xludf.UNSUPPORTED("""COMPUTED_VALUE"""),"Kilkenny MS")</f>
        <v>Kilkenny MS</v>
      </c>
      <c r="D43" s="15" t="str">
        <f ca="1">IFERROR(__xludf.UNSUPPORTED("""COMPUTED_VALUE"""),"Sound of Music")</f>
        <v>Sound of Music</v>
      </c>
      <c r="E43" s="18">
        <f ca="1">IFERROR(__xludf.UNSUPPORTED("""COMPUTED_VALUE"""),45399)</f>
        <v>45399</v>
      </c>
      <c r="F43" s="23">
        <f ca="1">IFERROR(__xludf.UNSUPPORTED("""COMPUTED_VALUE"""),45403)</f>
        <v>45403</v>
      </c>
      <c r="G43" s="14"/>
      <c r="H43" s="14" t="str">
        <f ca="1">IFERROR(__xludf.UNSUPPORTED("""COMPUTED_VALUE"""),"Simon Manahan")</f>
        <v>Simon Manahan</v>
      </c>
      <c r="I43" s="14" t="str">
        <f ca="1">IFERROR(__xludf.UNSUPPORTED("""COMPUTED_VALUE"""),"Roisín Currid")</f>
        <v>Roisín Currid</v>
      </c>
      <c r="J43" s="14" t="str">
        <f ca="1">IFERROR(__xludf.UNSUPPORTED("""COMPUTED_VALUE"""),"Jimmy Brockie")</f>
        <v>Jimmy Brockie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 ht="12.75" x14ac:dyDescent="0.2">
      <c r="A44" s="15" t="str">
        <f ca="1">IFERROR(__xludf.UNSUPPORTED("""COMPUTED_VALUE"""),"South-Western")</f>
        <v>South-Western</v>
      </c>
      <c r="B44" s="15" t="str">
        <f ca="1">IFERROR(__xludf.UNSUPPORTED("""COMPUTED_VALUE"""),"Gilbert")</f>
        <v>Gilbert</v>
      </c>
      <c r="C44" s="15" t="str">
        <f ca="1">IFERROR(__xludf.UNSUPPORTED("""COMPUTED_VALUE"""),"Carrick-on-Suir")</f>
        <v>Carrick-on-Suir</v>
      </c>
      <c r="D44" s="15" t="str">
        <f ca="1">IFERROR(__xludf.UNSUPPORTED("""COMPUTED_VALUE"""),"9 to 5")</f>
        <v>9 to 5</v>
      </c>
      <c r="E44" s="25">
        <f ca="1">IFERROR(__xludf.UNSUPPORTED("""COMPUTED_VALUE"""),45402)</f>
        <v>45402</v>
      </c>
      <c r="F44" s="23">
        <f ca="1">IFERROR(__xludf.UNSUPPORTED("""COMPUTED_VALUE"""),45409)</f>
        <v>45409</v>
      </c>
      <c r="G44" s="15"/>
      <c r="H44" s="15"/>
      <c r="I44" s="15"/>
      <c r="J44" s="14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 ht="12.75" x14ac:dyDescent="0.2">
      <c r="A45" s="15" t="str">
        <f ca="1">IFERROR(__xludf.UNSUPPORTED("""COMPUTED_VALUE"""),"Eastern")</f>
        <v>Eastern</v>
      </c>
      <c r="B45" s="15" t="str">
        <f ca="1">IFERROR(__xludf.UNSUPPORTED("""COMPUTED_VALUE"""),"Gilbert")</f>
        <v>Gilbert</v>
      </c>
      <c r="C45" s="15" t="str">
        <f ca="1">IFERROR(__xludf.UNSUPPORTED("""COMPUTED_VALUE"""),"St Marys MS Navan")</f>
        <v>St Marys MS Navan</v>
      </c>
      <c r="D45" s="15" t="str">
        <f ca="1">IFERROR(__xludf.UNSUPPORTED("""COMPUTED_VALUE"""),"Made in Dagenham")</f>
        <v>Made in Dagenham</v>
      </c>
      <c r="E45" s="25">
        <f ca="1">IFERROR(__xludf.UNSUPPORTED("""COMPUTED_VALUE"""),45405)</f>
        <v>45405</v>
      </c>
      <c r="F45" s="23">
        <f ca="1">IFERROR(__xludf.UNSUPPORTED("""COMPUTED_VALUE"""),45410)</f>
        <v>45410</v>
      </c>
      <c r="G45" s="15"/>
      <c r="H45" s="15"/>
      <c r="I45" s="15"/>
      <c r="J45" s="14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 ht="12.75" x14ac:dyDescent="0.2">
      <c r="A46" s="15" t="str">
        <f ca="1">IFERROR(__xludf.UNSUPPORTED("""COMPUTED_VALUE"""),"Eastern")</f>
        <v>Eastern</v>
      </c>
      <c r="B46" s="15" t="str">
        <f ca="1">IFERROR(__xludf.UNSUPPORTED("""COMPUTED_VALUE"""),"Gilbert")</f>
        <v>Gilbert</v>
      </c>
      <c r="C46" s="15" t="str">
        <f ca="1">IFERROR(__xludf.UNSUPPORTED("""COMPUTED_VALUE"""),"Leixlip MVG")</f>
        <v>Leixlip MVG</v>
      </c>
      <c r="D46" s="15" t="str">
        <f ca="1">IFERROR(__xludf.UNSUPPORTED("""COMPUTED_VALUE"""),"The Producers")</f>
        <v>The Producers</v>
      </c>
      <c r="E46" s="25">
        <f ca="1">IFERROR(__xludf.UNSUPPORTED("""COMPUTED_VALUE"""),45405)</f>
        <v>45405</v>
      </c>
      <c r="F46" s="23">
        <f ca="1">IFERROR(__xludf.UNSUPPORTED("""COMPUTED_VALUE"""),45409)</f>
        <v>45409</v>
      </c>
      <c r="G46" s="15"/>
      <c r="H46" s="15" t="str">
        <f ca="1">IFERROR(__xludf.UNSUPPORTED("""COMPUTED_VALUE"""),"Claire Tighe")</f>
        <v>Claire Tighe</v>
      </c>
      <c r="I46" s="15" t="str">
        <f ca="1">IFERROR(__xludf.UNSUPPORTED("""COMPUTED_VALUE"""),"Claire Tighe")</f>
        <v>Claire Tighe</v>
      </c>
      <c r="J46" s="14" t="str">
        <f ca="1">IFERROR(__xludf.UNSUPPORTED("""COMPUTED_VALUE"""),"Dermot O'Callaghan")</f>
        <v>Dermot O'Callaghan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 ht="12.75" x14ac:dyDescent="0.2">
      <c r="A47" s="15" t="str">
        <f ca="1">IFERROR(__xludf.UNSUPPORTED("""COMPUTED_VALUE"""),"Northern")</f>
        <v>Northern</v>
      </c>
      <c r="B47" s="15" t="str">
        <f ca="1">IFERROR(__xludf.UNSUPPORTED("""COMPUTED_VALUE"""),"Gilbert")</f>
        <v>Gilbert</v>
      </c>
      <c r="C47" s="15" t="str">
        <f ca="1">IFERROR(__xludf.UNSUPPORTED("""COMPUTED_VALUE"""),"St Agnes Choral Society")</f>
        <v>St Agnes Choral Society</v>
      </c>
      <c r="D47" s="15" t="str">
        <f ca="1">IFERROR(__xludf.UNSUPPORTED("""COMPUTED_VALUE"""),"Young Frankenstein")</f>
        <v>Young Frankenstein</v>
      </c>
      <c r="E47" s="25">
        <f ca="1">IFERROR(__xludf.UNSUPPORTED("""COMPUTED_VALUE"""),45405)</f>
        <v>45405</v>
      </c>
      <c r="F47" s="23">
        <f ca="1">IFERROR(__xludf.UNSUPPORTED("""COMPUTED_VALUE"""),45409)</f>
        <v>45409</v>
      </c>
      <c r="G47" s="15"/>
      <c r="H47" s="15" t="str">
        <f ca="1">IFERROR(__xludf.UNSUPPORTED("""COMPUTED_VALUE"""),"Rachel Logan-Fee")</f>
        <v>Rachel Logan-Fee</v>
      </c>
      <c r="I47" s="15" t="str">
        <f ca="1">IFERROR(__xludf.UNSUPPORTED("""COMPUTED_VALUE"""),"Amy Blackshaw")</f>
        <v>Amy Blackshaw</v>
      </c>
      <c r="J47" s="14" t="str">
        <f ca="1">IFERROR(__xludf.UNSUPPORTED("""COMPUTED_VALUE"""),"Andrew Robinson")</f>
        <v>Andrew Robinson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 ht="12.75" x14ac:dyDescent="0.2">
      <c r="A48" s="15" t="str">
        <f ca="1">IFERROR(__xludf.UNSUPPORTED("""COMPUTED_VALUE"""),"South-Eastern")</f>
        <v>South-Eastern</v>
      </c>
      <c r="B48" s="15" t="str">
        <f ca="1">IFERROR(__xludf.UNSUPPORTED("""COMPUTED_VALUE"""),"Gilbert")</f>
        <v>Gilbert</v>
      </c>
      <c r="C48" s="15" t="str">
        <f ca="1">IFERROR(__xludf.UNSUPPORTED("""COMPUTED_VALUE"""),"WLOS")</f>
        <v>WLOS</v>
      </c>
      <c r="D48" s="15" t="str">
        <f ca="1">IFERROR(__xludf.UNSUPPORTED("""COMPUTED_VALUE"""),"Phantom of the Opera")</f>
        <v>Phantom of the Opera</v>
      </c>
      <c r="E48" s="22">
        <f ca="1">IFERROR(__xludf.UNSUPPORTED("""COMPUTED_VALUE"""),45411)</f>
        <v>45411</v>
      </c>
      <c r="F48" s="23">
        <f ca="1">IFERROR(__xludf.UNSUPPORTED("""COMPUTED_VALUE"""),45416)</f>
        <v>45416</v>
      </c>
      <c r="G48" s="15"/>
      <c r="H48" s="15" t="str">
        <f ca="1">IFERROR(__xludf.UNSUPPORTED("""COMPUTED_VALUE"""),"Christine Scarry")</f>
        <v>Christine Scarry</v>
      </c>
      <c r="I48" s="15" t="str">
        <f ca="1">IFERROR(__xludf.UNSUPPORTED("""COMPUTED_VALUE"""),"Thérése O’Sullivan")</f>
        <v>Thérése O’Sullivan</v>
      </c>
      <c r="J48" s="14" t="str">
        <f ca="1">IFERROR(__xludf.UNSUPPORTED("""COMPUTED_VALUE"""),"David Hayes")</f>
        <v>David Hayes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 ht="12.75" x14ac:dyDescent="0.2">
      <c r="A49" s="15" t="str">
        <f ca="1">IFERROR(__xludf.UNSUPPORTED("""COMPUTED_VALUE"""),"South-Eastern")</f>
        <v>South-Eastern</v>
      </c>
      <c r="B49" s="15" t="str">
        <f ca="1">IFERROR(__xludf.UNSUPPORTED("""COMPUTED_VALUE"""),"Gilbert")</f>
        <v>Gilbert</v>
      </c>
      <c r="C49" s="15" t="str">
        <f ca="1">IFERROR(__xludf.UNSUPPORTED("""COMPUTED_VALUE"""),"Waterford MS")</f>
        <v>Waterford MS</v>
      </c>
      <c r="D49" s="15" t="str">
        <f ca="1">IFERROR(__xludf.UNSUPPORTED("""COMPUTED_VALUE"""),"Evita")</f>
        <v>Evita</v>
      </c>
      <c r="E49" s="25">
        <f ca="1">IFERROR(__xludf.UNSUPPORTED("""COMPUTED_VALUE"""),45412)</f>
        <v>45412</v>
      </c>
      <c r="F49" s="23">
        <f ca="1">IFERROR(__xludf.UNSUPPORTED("""COMPUTED_VALUE"""),45416)</f>
        <v>45416</v>
      </c>
      <c r="G49" s="15"/>
      <c r="H49" s="15"/>
      <c r="I49" s="15"/>
      <c r="J49" s="14" t="str">
        <f ca="1">IFERROR(__xludf.UNSUPPORTED("""COMPUTED_VALUE"""),"Wayne Brown")</f>
        <v>Wayne Brown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 ht="12.75" x14ac:dyDescent="0.2">
      <c r="A50" s="15" t="str">
        <f ca="1">IFERROR(__xludf.UNSUPPORTED("""COMPUTED_VALUE"""),"Northern")</f>
        <v>Northern</v>
      </c>
      <c r="B50" s="15" t="str">
        <f ca="1">IFERROR(__xludf.UNSUPPORTED("""COMPUTED_VALUE"""),"Gilbert")</f>
        <v>Gilbert</v>
      </c>
      <c r="C50" s="15" t="str">
        <f ca="1">IFERROR(__xludf.UNSUPPORTED("""COMPUTED_VALUE"""),"Belfast Operatic")</f>
        <v>Belfast Operatic</v>
      </c>
      <c r="D50" s="15" t="str">
        <f ca="1">IFERROR(__xludf.UNSUPPORTED("""COMPUTED_VALUE"""),"Phantom of the Opera")</f>
        <v>Phantom of the Opera</v>
      </c>
      <c r="E50" s="18">
        <f ca="1">IFERROR(__xludf.UNSUPPORTED("""COMPUTED_VALUE"""),45412)</f>
        <v>45412</v>
      </c>
      <c r="F50" s="23">
        <f ca="1">IFERROR(__xludf.UNSUPPORTED("""COMPUTED_VALUE"""),45417)</f>
        <v>45417</v>
      </c>
      <c r="G50" s="14"/>
      <c r="H50" s="14"/>
      <c r="I50" s="14"/>
      <c r="J50" s="14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1:28" ht="15.75" customHeight="1" x14ac:dyDescent="0.2">
      <c r="A51" s="8" t="str">
        <f ca="1">IFERROR(__xludf.UNSUPPORTED("""COMPUTED_VALUE"""),"South-Western")</f>
        <v>South-Western</v>
      </c>
      <c r="B51" s="8" t="str">
        <f ca="1">IFERROR(__xludf.UNSUPPORTED("""COMPUTED_VALUE"""),"Gilbert")</f>
        <v>Gilbert</v>
      </c>
      <c r="C51" s="8" t="str">
        <f ca="1">IFERROR(__xludf.UNSUPPORTED("""COMPUTED_VALUE"""),"Roscrea Musical Society")</f>
        <v>Roscrea Musical Society</v>
      </c>
      <c r="D51" s="8" t="str">
        <f ca="1">IFERROR(__xludf.UNSUPPORTED("""COMPUTED_VALUE"""),"Grease")</f>
        <v>Grease</v>
      </c>
      <c r="E51" s="26">
        <f ca="1">IFERROR(__xludf.UNSUPPORTED("""COMPUTED_VALUE"""),45413)</f>
        <v>45413</v>
      </c>
      <c r="F51" s="26">
        <f ca="1">IFERROR(__xludf.UNSUPPORTED("""COMPUTED_VALUE"""),45413)</f>
        <v>45413</v>
      </c>
      <c r="G51" s="8"/>
      <c r="H51" s="8" t="str">
        <f ca="1">IFERROR(__xludf.UNSUPPORTED("""COMPUTED_VALUE"""),"Paul Norton")</f>
        <v>Paul Norton</v>
      </c>
      <c r="I51" s="8" t="str">
        <f ca="1">IFERROR(__xludf.UNSUPPORTED("""COMPUTED_VALUE"""),"Stephanie Browne")</f>
        <v>Stephanie Browne</v>
      </c>
      <c r="J51" s="8" t="str">
        <f ca="1">IFERROR(__xludf.UNSUPPORTED("""COMPUTED_VALUE"""),"Mary Rose McNally")</f>
        <v>Mary Rose McNally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ht="12.75" x14ac:dyDescent="0.2">
      <c r="A52" s="8" t="str">
        <f ca="1">IFERROR(__xludf.UNSUPPORTED("""COMPUTED_VALUE"""),"Eastern")</f>
        <v>Eastern</v>
      </c>
      <c r="B52" s="8" t="str">
        <f ca="1">IFERROR(__xludf.UNSUPPORTED("""COMPUTED_VALUE"""),"Gilbert")</f>
        <v>Gilbert</v>
      </c>
      <c r="C52" s="8" t="str">
        <f ca="1">IFERROR(__xludf.UNSUPPORTED("""COMPUTED_VALUE"""),"Clane")</f>
        <v>Clane</v>
      </c>
      <c r="D52" s="8" t="str">
        <f ca="1">IFERROR(__xludf.UNSUPPORTED("""COMPUTED_VALUE"""),"The Addams Family")</f>
        <v>The Addams Family</v>
      </c>
      <c r="E52" s="26"/>
      <c r="F52" s="26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</sheetData>
  <conditionalFormatting sqref="B3 H3 H11 H19 H27 H35 H43">
    <cfRule type="containsText" dxfId="60" priority="16" operator="containsText" text="Done">
      <formula>NOT(ISERROR(SEARCH(("Done"),(B3))))</formula>
    </cfRule>
  </conditionalFormatting>
  <conditionalFormatting sqref="C11:D50">
    <cfRule type="containsText" dxfId="59" priority="1" operator="containsText" text="Done">
      <formula>NOT(ISERROR(SEARCH(("Done"),(C11))))</formula>
    </cfRule>
  </conditionalFormatting>
  <conditionalFormatting sqref="E11:F11">
    <cfRule type="containsText" dxfId="58" priority="12" operator="containsText" text="Done">
      <formula>NOT(ISERROR(SEARCH(("Done"),(E11))))</formula>
    </cfRule>
  </conditionalFormatting>
  <conditionalFormatting sqref="I3:I9 C3:F10 I11:I17 I19:I25 I27:I33 I35:I41 I43:I49">
    <cfRule type="containsText" dxfId="57" priority="13" operator="containsText" text="Done">
      <formula>NOT(ISERROR(SEARCH(("Done"),(C3))))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/>
  </sheetViews>
  <sheetFormatPr defaultColWidth="12.5703125" defaultRowHeight="15.75" customHeight="1" x14ac:dyDescent="0.2"/>
  <cols>
    <col min="1" max="1" width="12.140625" customWidth="1"/>
    <col min="2" max="2" width="10.5703125" customWidth="1"/>
    <col min="3" max="3" width="29.5703125" customWidth="1"/>
    <col min="4" max="4" width="28.85546875" customWidth="1"/>
    <col min="5" max="5" width="10.42578125" customWidth="1"/>
    <col min="6" max="7" width="13.42578125" customWidth="1"/>
    <col min="8" max="8" width="12.42578125" customWidth="1"/>
    <col min="9" max="9" width="23.42578125" customWidth="1"/>
    <col min="10" max="10" width="27.5703125" customWidth="1"/>
    <col min="11" max="25" width="12.28515625" customWidth="1"/>
  </cols>
  <sheetData>
    <row r="1" spans="1:10" ht="12.75" x14ac:dyDescent="0.2">
      <c r="A1" s="12" t="str">
        <f ca="1">IFERROR(__xludf.UNSUPPORTED("QUERY({'AIMS Calendar 2324'!B:J}, ""SELECT * WHERE Col2 = 'Sullivan'"")
")," Category")</f>
        <v xml:space="preserve"> Category</v>
      </c>
      <c r="B1" s="12" t="str">
        <f ca="1">IFERROR(__xludf.UNSUPPORTED("""COMPUTED_VALUE""")," Society")</f>
        <v xml:space="preserve"> Society</v>
      </c>
      <c r="C1" s="12" t="str">
        <f ca="1">IFERROR(__xludf.UNSUPPORTED("""COMPUTED_VALUE""")," Show")</f>
        <v xml:space="preserve"> Show</v>
      </c>
      <c r="D1" s="12" t="str">
        <f ca="1">IFERROR(__xludf.UNSUPPORTED("""COMPUTED_VALUE""")," Opening")</f>
        <v xml:space="preserve"> Opening</v>
      </c>
      <c r="E1" s="12" t="str">
        <f ca="1">IFERROR(__xludf.UNSUPPORTED("""COMPUTED_VALUE""")," Closing")</f>
        <v xml:space="preserve"> Closing</v>
      </c>
      <c r="F1" s="12" t="str">
        <f ca="1">IFERROR(__xludf.UNSUPPORTED("""COMPUTED_VALUE""")," Review Online")</f>
        <v xml:space="preserve"> Review Online</v>
      </c>
      <c r="G1" s="12" t="str">
        <f ca="1">IFERROR(__xludf.UNSUPPORTED("""COMPUTED_VALUE""")," Director")</f>
        <v xml:space="preserve"> Director</v>
      </c>
      <c r="H1" s="12" t="str">
        <f ca="1">IFERROR(__xludf.UNSUPPORTED("""COMPUTED_VALUE""")," Choreographer")</f>
        <v xml:space="preserve"> Choreographer</v>
      </c>
      <c r="I1" s="12" t="str">
        <f ca="1">IFERROR(__xludf.UNSUPPORTED("""COMPUTED_VALUE""")," Musical Director")</f>
        <v xml:space="preserve"> Musical Director</v>
      </c>
      <c r="J1" s="13"/>
    </row>
    <row r="2" spans="1:10" ht="12.75" x14ac:dyDescent="0.2">
      <c r="A2" s="15"/>
      <c r="B2" s="15"/>
      <c r="C2" s="15"/>
      <c r="D2" s="15"/>
      <c r="E2" s="27"/>
      <c r="F2" s="19"/>
      <c r="G2" s="15"/>
      <c r="H2" s="15"/>
      <c r="I2" s="15"/>
      <c r="J2" s="14"/>
    </row>
    <row r="3" spans="1:10" ht="12.75" x14ac:dyDescent="0.2">
      <c r="A3" s="15"/>
      <c r="B3" s="15"/>
      <c r="C3" s="15"/>
      <c r="D3" s="15"/>
      <c r="E3" s="27"/>
      <c r="F3" s="19"/>
      <c r="G3" s="15"/>
      <c r="H3" s="15"/>
      <c r="I3" s="15"/>
      <c r="J3" s="14"/>
    </row>
    <row r="4" spans="1:10" ht="12.75" x14ac:dyDescent="0.2">
      <c r="A4" s="15"/>
      <c r="B4" s="15"/>
      <c r="C4" s="15"/>
      <c r="D4" s="15"/>
      <c r="E4" s="22"/>
      <c r="F4" s="19"/>
      <c r="G4" s="15"/>
      <c r="H4" s="15"/>
      <c r="I4" s="15"/>
      <c r="J4" s="14"/>
    </row>
    <row r="5" spans="1:10" ht="12.75" x14ac:dyDescent="0.2">
      <c r="A5" s="15"/>
      <c r="B5" s="15"/>
      <c r="C5" s="15"/>
      <c r="D5" s="15"/>
      <c r="E5" s="27"/>
      <c r="F5" s="19"/>
      <c r="G5" s="15"/>
      <c r="H5" s="15"/>
      <c r="I5" s="15"/>
      <c r="J5" s="14"/>
    </row>
    <row r="6" spans="1:10" ht="12.75" x14ac:dyDescent="0.2">
      <c r="A6" s="15"/>
      <c r="B6" s="15"/>
      <c r="C6" s="15"/>
      <c r="D6" s="15"/>
      <c r="E6" s="28"/>
      <c r="F6" s="19"/>
      <c r="G6" s="15"/>
      <c r="H6" s="15"/>
      <c r="I6" s="15"/>
      <c r="J6" s="14"/>
    </row>
    <row r="7" spans="1:10" ht="12.75" x14ac:dyDescent="0.2">
      <c r="A7" s="15"/>
      <c r="B7" s="15"/>
      <c r="C7" s="15"/>
      <c r="D7" s="15"/>
      <c r="E7" s="27"/>
      <c r="F7" s="19"/>
      <c r="G7" s="15"/>
      <c r="H7" s="15"/>
      <c r="I7" s="15"/>
      <c r="J7" s="14"/>
    </row>
    <row r="8" spans="1:10" ht="12.75" x14ac:dyDescent="0.2">
      <c r="A8" s="15"/>
      <c r="B8" s="15"/>
      <c r="C8" s="15"/>
      <c r="D8" s="15"/>
      <c r="E8" s="22"/>
      <c r="F8" s="19"/>
      <c r="G8" s="15"/>
      <c r="H8" s="15"/>
      <c r="I8" s="15"/>
      <c r="J8" s="14"/>
    </row>
    <row r="9" spans="1:10" ht="12.75" x14ac:dyDescent="0.2">
      <c r="A9" s="15"/>
      <c r="B9" s="15"/>
      <c r="C9" s="15"/>
      <c r="D9" s="15"/>
      <c r="E9" s="27"/>
      <c r="F9" s="19"/>
      <c r="G9" s="15"/>
      <c r="H9" s="15"/>
      <c r="I9" s="15"/>
      <c r="J9" s="14"/>
    </row>
    <row r="10" spans="1:10" ht="12.75" x14ac:dyDescent="0.2">
      <c r="A10" s="15"/>
      <c r="B10" s="15"/>
      <c r="C10" s="15"/>
      <c r="D10" s="15"/>
      <c r="E10" s="27"/>
      <c r="F10" s="19"/>
      <c r="G10" s="15"/>
      <c r="H10" s="15"/>
      <c r="I10" s="15"/>
      <c r="J10" s="14"/>
    </row>
    <row r="11" spans="1:10" ht="12.75" x14ac:dyDescent="0.2">
      <c r="A11" s="15"/>
      <c r="B11" s="15"/>
      <c r="C11" s="15"/>
      <c r="D11" s="15"/>
      <c r="E11" s="28"/>
      <c r="F11" s="19"/>
      <c r="G11" s="15"/>
      <c r="H11" s="15"/>
      <c r="I11" s="15"/>
      <c r="J11" s="14"/>
    </row>
    <row r="12" spans="1:10" ht="12.75" x14ac:dyDescent="0.2">
      <c r="A12" s="15"/>
      <c r="B12" s="15"/>
      <c r="C12" s="15"/>
      <c r="D12" s="15"/>
      <c r="E12" s="27"/>
      <c r="F12" s="19"/>
      <c r="G12" s="15"/>
      <c r="H12" s="15"/>
      <c r="I12" s="15"/>
      <c r="J12" s="14"/>
    </row>
    <row r="13" spans="1:10" ht="12.75" x14ac:dyDescent="0.2">
      <c r="A13" s="15"/>
      <c r="B13" s="15"/>
      <c r="C13" s="15"/>
      <c r="D13" s="15"/>
      <c r="E13" s="22"/>
      <c r="F13" s="19"/>
      <c r="G13" s="15"/>
      <c r="H13" s="15"/>
      <c r="I13" s="15"/>
      <c r="J13" s="14"/>
    </row>
    <row r="14" spans="1:10" ht="12.75" x14ac:dyDescent="0.2">
      <c r="A14" s="29"/>
      <c r="B14" s="29"/>
      <c r="C14" s="29"/>
      <c r="D14" s="29"/>
      <c r="E14" s="29"/>
      <c r="F14" s="29"/>
      <c r="G14" s="15"/>
      <c r="H14" s="15"/>
      <c r="I14" s="15"/>
      <c r="J14" s="14"/>
    </row>
    <row r="15" spans="1:10" ht="12.75" x14ac:dyDescent="0.2">
      <c r="A15" s="15"/>
      <c r="B15" s="15"/>
      <c r="C15" s="15"/>
      <c r="D15" s="15"/>
      <c r="E15" s="27"/>
      <c r="F15" s="29"/>
      <c r="G15" s="15"/>
      <c r="H15" s="15"/>
      <c r="I15" s="15"/>
      <c r="J15" s="14"/>
    </row>
    <row r="16" spans="1:10" ht="12.75" x14ac:dyDescent="0.2">
      <c r="A16" s="15"/>
      <c r="B16" s="15"/>
      <c r="C16" s="15"/>
      <c r="D16" s="15"/>
      <c r="E16" s="27"/>
      <c r="F16" s="23"/>
      <c r="G16" s="15"/>
      <c r="H16" s="15"/>
      <c r="I16" s="15"/>
      <c r="J16" s="14"/>
    </row>
    <row r="17" spans="1:10" ht="12.75" x14ac:dyDescent="0.2">
      <c r="A17" s="15"/>
      <c r="B17" s="15"/>
      <c r="C17" s="15"/>
      <c r="D17" s="15"/>
      <c r="E17" s="27"/>
      <c r="F17" s="23"/>
      <c r="G17" s="15"/>
      <c r="H17" s="15"/>
      <c r="I17" s="15"/>
      <c r="J17" s="14"/>
    </row>
    <row r="18" spans="1:10" ht="12.75" x14ac:dyDescent="0.2">
      <c r="A18" s="15"/>
      <c r="B18" s="15"/>
      <c r="C18" s="15"/>
      <c r="D18" s="15"/>
      <c r="E18" s="27"/>
      <c r="F18" s="23"/>
      <c r="G18" s="15"/>
      <c r="H18" s="15"/>
      <c r="I18" s="15"/>
      <c r="J18" s="14"/>
    </row>
    <row r="19" spans="1:10" ht="12.75" x14ac:dyDescent="0.2">
      <c r="A19" s="15"/>
      <c r="B19" s="14"/>
      <c r="C19" s="15"/>
      <c r="D19" s="15"/>
      <c r="E19" s="14"/>
      <c r="F19" s="23"/>
      <c r="G19" s="15"/>
      <c r="H19" s="15"/>
      <c r="I19" s="15"/>
      <c r="J19" s="14"/>
    </row>
    <row r="20" spans="1:10" ht="12.75" x14ac:dyDescent="0.2">
      <c r="A20" s="15"/>
      <c r="B20" s="15"/>
      <c r="C20" s="15"/>
      <c r="D20" s="15"/>
      <c r="E20" s="27"/>
      <c r="F20" s="23"/>
      <c r="G20" s="15"/>
      <c r="H20" s="15"/>
      <c r="I20" s="15"/>
      <c r="J20" s="14"/>
    </row>
    <row r="21" spans="1:10" ht="12.75" x14ac:dyDescent="0.2">
      <c r="A21" s="14"/>
      <c r="B21" s="15"/>
      <c r="C21" s="15"/>
      <c r="D21" s="15"/>
      <c r="E21" s="28"/>
      <c r="F21" s="15"/>
      <c r="G21" s="15"/>
      <c r="H21" s="15"/>
      <c r="I21" s="15"/>
      <c r="J21" s="14"/>
    </row>
    <row r="22" spans="1:10" ht="12.75" x14ac:dyDescent="0.2">
      <c r="A22" s="15"/>
      <c r="B22" s="15"/>
      <c r="C22" s="15"/>
      <c r="D22" s="15"/>
      <c r="E22" s="27"/>
      <c r="F22" s="23"/>
      <c r="G22" s="15"/>
      <c r="H22" s="15"/>
      <c r="I22" s="15"/>
      <c r="J22" s="14"/>
    </row>
    <row r="23" spans="1:10" ht="12.75" x14ac:dyDescent="0.2">
      <c r="A23" s="15"/>
      <c r="B23" s="15"/>
      <c r="C23" s="15"/>
      <c r="D23" s="15"/>
      <c r="E23" s="22"/>
      <c r="F23" s="23"/>
      <c r="G23" s="15"/>
      <c r="H23" s="15"/>
      <c r="I23" s="15"/>
      <c r="J23" s="14"/>
    </row>
    <row r="24" spans="1:10" ht="12.75" x14ac:dyDescent="0.2">
      <c r="A24" s="15"/>
      <c r="B24" s="15"/>
      <c r="C24" s="15"/>
      <c r="D24" s="15"/>
      <c r="E24" s="27"/>
      <c r="F24" s="23"/>
      <c r="G24" s="15"/>
      <c r="H24" s="15"/>
      <c r="I24" s="15"/>
      <c r="J24" s="14"/>
    </row>
    <row r="25" spans="1:10" ht="12.75" x14ac:dyDescent="0.2">
      <c r="A25" s="15"/>
      <c r="B25" s="15"/>
      <c r="C25" s="15"/>
      <c r="D25" s="15"/>
      <c r="E25" s="22"/>
      <c r="F25" s="23"/>
      <c r="G25" s="12"/>
      <c r="H25" s="12"/>
      <c r="I25" s="12"/>
      <c r="J25" s="14"/>
    </row>
    <row r="26" spans="1:10" ht="12.75" x14ac:dyDescent="0.2">
      <c r="A26" s="15"/>
      <c r="B26" s="15"/>
      <c r="C26" s="15"/>
      <c r="D26" s="15"/>
      <c r="E26" s="27"/>
      <c r="F26" s="23"/>
      <c r="G26" s="15"/>
      <c r="H26" s="15"/>
      <c r="I26" s="15"/>
      <c r="J26" s="14"/>
    </row>
    <row r="27" spans="1:10" ht="12.75" x14ac:dyDescent="0.2">
      <c r="A27" s="15"/>
      <c r="B27" s="15"/>
      <c r="C27" s="15"/>
      <c r="D27" s="15"/>
      <c r="E27" s="27"/>
      <c r="F27" s="23"/>
      <c r="G27" s="15"/>
      <c r="H27" s="15"/>
      <c r="I27" s="15"/>
      <c r="J27" s="14"/>
    </row>
    <row r="28" spans="1:10" ht="12.75" x14ac:dyDescent="0.2">
      <c r="A28" s="15"/>
      <c r="B28" s="15"/>
      <c r="C28" s="15"/>
      <c r="D28" s="15"/>
      <c r="E28" s="27"/>
      <c r="F28" s="23"/>
      <c r="G28" s="15"/>
      <c r="H28" s="15"/>
      <c r="I28" s="15"/>
      <c r="J28" s="14"/>
    </row>
    <row r="29" spans="1:10" ht="12.75" x14ac:dyDescent="0.2">
      <c r="A29" s="15"/>
      <c r="B29" s="14"/>
      <c r="C29" s="15"/>
      <c r="D29" s="15"/>
      <c r="E29" s="14"/>
      <c r="F29" s="23"/>
      <c r="G29" s="15"/>
      <c r="H29" s="15"/>
      <c r="I29" s="15"/>
      <c r="J29" s="14"/>
    </row>
    <row r="30" spans="1:10" ht="12.75" x14ac:dyDescent="0.2">
      <c r="A30" s="15"/>
      <c r="B30" s="15"/>
      <c r="C30" s="15"/>
      <c r="D30" s="15"/>
      <c r="E30" s="27"/>
      <c r="F30" s="23"/>
      <c r="G30" s="15"/>
      <c r="H30" s="15"/>
      <c r="I30" s="15"/>
      <c r="J30" s="14"/>
    </row>
    <row r="31" spans="1:10" ht="12.75" x14ac:dyDescent="0.2">
      <c r="A31" s="15"/>
      <c r="B31" s="15"/>
      <c r="C31" s="15"/>
      <c r="D31" s="15"/>
      <c r="E31" s="27"/>
      <c r="F31" s="23"/>
      <c r="G31" s="15"/>
      <c r="H31" s="15"/>
      <c r="I31" s="15"/>
      <c r="J31" s="14"/>
    </row>
    <row r="32" spans="1:10" ht="12.75" x14ac:dyDescent="0.2">
      <c r="A32" s="15"/>
      <c r="B32" s="15"/>
      <c r="C32" s="15"/>
      <c r="D32" s="15"/>
      <c r="E32" s="28"/>
      <c r="F32" s="23"/>
      <c r="G32" s="15"/>
      <c r="H32" s="15"/>
      <c r="I32" s="15"/>
      <c r="J32" s="14"/>
    </row>
    <row r="33" spans="1:10" ht="12.75" x14ac:dyDescent="0.2">
      <c r="A33" s="29"/>
      <c r="B33" s="29"/>
      <c r="C33" s="29"/>
      <c r="D33" s="29"/>
      <c r="E33" s="29"/>
      <c r="F33" s="29"/>
      <c r="G33" s="15"/>
      <c r="H33" s="15"/>
      <c r="I33" s="15"/>
      <c r="J33" s="14"/>
    </row>
    <row r="34" spans="1:10" ht="12.75" x14ac:dyDescent="0.2">
      <c r="A34" s="29"/>
      <c r="B34" s="29"/>
      <c r="C34" s="29"/>
      <c r="D34" s="29"/>
      <c r="E34" s="29"/>
      <c r="F34" s="29"/>
      <c r="G34" s="15"/>
      <c r="H34" s="15"/>
      <c r="I34" s="15"/>
      <c r="J34" s="14"/>
    </row>
    <row r="35" spans="1:10" ht="12.75" x14ac:dyDescent="0.2">
      <c r="A35" s="29"/>
      <c r="B35" s="29"/>
      <c r="C35" s="29"/>
      <c r="D35" s="29"/>
      <c r="E35" s="29"/>
      <c r="F35" s="29"/>
      <c r="G35" s="15"/>
      <c r="H35" s="15"/>
      <c r="I35" s="15"/>
      <c r="J35" s="14"/>
    </row>
    <row r="36" spans="1:10" ht="12.75" x14ac:dyDescent="0.2">
      <c r="A36" s="29"/>
      <c r="B36" s="29"/>
      <c r="C36" s="29"/>
      <c r="D36" s="29"/>
      <c r="E36" s="29"/>
      <c r="F36" s="29"/>
      <c r="G36" s="15"/>
      <c r="H36" s="15"/>
      <c r="I36" s="15"/>
      <c r="J36" s="14"/>
    </row>
    <row r="37" spans="1:10" ht="12.75" x14ac:dyDescent="0.2">
      <c r="A37" s="29"/>
      <c r="B37" s="29"/>
      <c r="C37" s="29"/>
      <c r="D37" s="29"/>
      <c r="E37" s="29"/>
      <c r="F37" s="29"/>
      <c r="G37" s="12"/>
      <c r="H37" s="12"/>
      <c r="I37" s="12"/>
      <c r="J37" s="14"/>
    </row>
    <row r="38" spans="1:10" ht="12.75" x14ac:dyDescent="0.2">
      <c r="A38" s="29"/>
      <c r="B38" s="29"/>
      <c r="C38" s="29"/>
      <c r="D38" s="29"/>
      <c r="E38" s="29"/>
      <c r="F38" s="29"/>
      <c r="G38" s="15"/>
      <c r="H38" s="15"/>
      <c r="I38" s="15"/>
      <c r="J38" s="14"/>
    </row>
    <row r="39" spans="1:10" ht="12.75" x14ac:dyDescent="0.2">
      <c r="A39" s="29"/>
      <c r="B39" s="29"/>
      <c r="C39" s="29"/>
      <c r="D39" s="29"/>
      <c r="E39" s="29"/>
      <c r="F39" s="29"/>
      <c r="G39" s="15"/>
      <c r="H39" s="15"/>
      <c r="I39" s="15"/>
      <c r="J39" s="14"/>
    </row>
    <row r="40" spans="1:10" ht="12.75" x14ac:dyDescent="0.2">
      <c r="A40" s="29"/>
      <c r="B40" s="29"/>
      <c r="C40" s="29"/>
      <c r="D40" s="29"/>
      <c r="E40" s="29"/>
      <c r="F40" s="29"/>
      <c r="G40" s="15"/>
      <c r="H40" s="15"/>
      <c r="I40" s="15"/>
      <c r="J40" s="14"/>
    </row>
    <row r="41" spans="1:10" ht="12.75" x14ac:dyDescent="0.2">
      <c r="A41" s="31"/>
      <c r="B41" s="31"/>
      <c r="C41" s="31"/>
      <c r="D41" s="31"/>
      <c r="E41" s="31"/>
      <c r="F41" s="31"/>
      <c r="G41" s="15"/>
      <c r="H41" s="15"/>
      <c r="I41" s="15"/>
      <c r="J41" s="3"/>
    </row>
    <row r="42" spans="1:10" ht="12.75" x14ac:dyDescent="0.2">
      <c r="A42" s="31"/>
      <c r="B42" s="31"/>
      <c r="C42" s="31"/>
      <c r="D42" s="31"/>
      <c r="E42" s="31"/>
      <c r="F42" s="31"/>
      <c r="G42" s="15"/>
      <c r="H42" s="15"/>
      <c r="I42" s="15"/>
      <c r="J42" s="3"/>
    </row>
    <row r="43" spans="1:10" ht="12.75" x14ac:dyDescent="0.2">
      <c r="A43" s="31"/>
      <c r="B43" s="31"/>
      <c r="C43" s="31"/>
      <c r="D43" s="31"/>
      <c r="E43" s="31"/>
      <c r="F43" s="31"/>
      <c r="G43" s="15"/>
      <c r="H43" s="15"/>
      <c r="I43" s="15"/>
      <c r="J43" s="3"/>
    </row>
    <row r="44" spans="1:10" ht="12.75" x14ac:dyDescent="0.2">
      <c r="A44" s="31"/>
      <c r="B44" s="31"/>
      <c r="C44" s="31"/>
      <c r="D44" s="31"/>
      <c r="E44" s="31"/>
      <c r="F44" s="31"/>
      <c r="G44" s="15"/>
      <c r="H44" s="15"/>
      <c r="I44" s="15"/>
      <c r="J44" s="3"/>
    </row>
    <row r="45" spans="1:10" ht="12.75" x14ac:dyDescent="0.2">
      <c r="A45" s="31"/>
      <c r="B45" s="31"/>
      <c r="C45" s="31"/>
      <c r="D45" s="31"/>
      <c r="E45" s="31"/>
      <c r="F45" s="31"/>
      <c r="G45" s="15"/>
      <c r="H45" s="15"/>
      <c r="I45" s="15"/>
      <c r="J45" s="3"/>
    </row>
    <row r="46" spans="1:10" ht="12.75" x14ac:dyDescent="0.2">
      <c r="A46" s="31"/>
      <c r="B46" s="31"/>
      <c r="C46" s="31"/>
      <c r="D46" s="31"/>
      <c r="E46" s="31"/>
      <c r="F46" s="31"/>
      <c r="G46" s="15"/>
      <c r="H46" s="15"/>
      <c r="I46" s="15"/>
      <c r="J46" s="3"/>
    </row>
    <row r="47" spans="1:10" ht="12.75" x14ac:dyDescent="0.2">
      <c r="A47" s="31"/>
      <c r="B47" s="31"/>
      <c r="C47" s="31"/>
      <c r="D47" s="31"/>
      <c r="E47" s="31"/>
      <c r="F47" s="31"/>
      <c r="G47" s="15"/>
      <c r="H47" s="15"/>
      <c r="I47" s="15"/>
      <c r="J47" s="3"/>
    </row>
    <row r="48" spans="1:10" ht="12.75" x14ac:dyDescent="0.2">
      <c r="A48" s="31"/>
      <c r="B48" s="31"/>
      <c r="C48" s="31"/>
      <c r="D48" s="31"/>
      <c r="E48" s="31"/>
      <c r="F48" s="31"/>
      <c r="G48" s="15"/>
      <c r="H48" s="15"/>
      <c r="I48" s="15"/>
      <c r="J48" s="3"/>
    </row>
    <row r="49" spans="1:10" ht="12.75" x14ac:dyDescent="0.2">
      <c r="A49" s="31"/>
      <c r="B49" s="31"/>
      <c r="C49" s="31"/>
      <c r="D49" s="31"/>
      <c r="E49" s="31"/>
      <c r="F49" s="31"/>
      <c r="G49" s="12"/>
      <c r="H49" s="12"/>
      <c r="I49" s="12"/>
      <c r="J49" s="3"/>
    </row>
    <row r="50" spans="1:10" ht="12.75" x14ac:dyDescent="0.2">
      <c r="A50" s="3"/>
      <c r="B50" s="3"/>
      <c r="C50" s="3"/>
      <c r="D50" s="3"/>
      <c r="E50" s="3"/>
      <c r="F50" s="3"/>
      <c r="G50" s="15"/>
      <c r="H50" s="15"/>
      <c r="I50" s="15"/>
      <c r="J50" s="3"/>
    </row>
    <row r="51" spans="1:10" ht="12.75" x14ac:dyDescent="0.2">
      <c r="A51" s="3"/>
      <c r="B51" s="3"/>
      <c r="C51" s="3"/>
      <c r="D51" s="3"/>
      <c r="E51" s="3"/>
      <c r="F51" s="3"/>
      <c r="G51" s="15"/>
      <c r="H51" s="15"/>
      <c r="I51" s="15"/>
      <c r="J51" s="3"/>
    </row>
    <row r="52" spans="1:10" ht="12.75" x14ac:dyDescent="0.2">
      <c r="A52" s="3"/>
      <c r="B52" s="3"/>
      <c r="C52" s="3"/>
      <c r="D52" s="3"/>
      <c r="E52" s="3"/>
      <c r="F52" s="3"/>
      <c r="G52" s="15"/>
      <c r="H52" s="15"/>
      <c r="I52" s="15"/>
      <c r="J52" s="3"/>
    </row>
    <row r="53" spans="1:10" ht="12.75" x14ac:dyDescent="0.2">
      <c r="A53" s="3"/>
      <c r="B53" s="3"/>
      <c r="C53" s="3"/>
      <c r="D53" s="3"/>
      <c r="E53" s="3"/>
      <c r="F53" s="3"/>
      <c r="G53" s="15"/>
      <c r="H53" s="15"/>
      <c r="I53" s="15"/>
      <c r="J53" s="3"/>
    </row>
    <row r="54" spans="1:10" ht="12.75" x14ac:dyDescent="0.2">
      <c r="A54" s="3"/>
      <c r="B54" s="3"/>
      <c r="C54" s="3"/>
      <c r="D54" s="3"/>
      <c r="E54" s="3"/>
      <c r="F54" s="3"/>
      <c r="G54" s="15"/>
      <c r="H54" s="15"/>
      <c r="I54" s="15"/>
      <c r="J54" s="3"/>
    </row>
    <row r="55" spans="1:10" ht="12.75" x14ac:dyDescent="0.2">
      <c r="A55" s="3"/>
      <c r="B55" s="3"/>
      <c r="C55" s="3"/>
      <c r="D55" s="3"/>
      <c r="E55" s="3"/>
      <c r="F55" s="3"/>
      <c r="G55" s="15"/>
      <c r="H55" s="15"/>
      <c r="I55" s="15"/>
      <c r="J55" s="3"/>
    </row>
    <row r="56" spans="1:10" ht="12.75" x14ac:dyDescent="0.2">
      <c r="A56" s="3"/>
      <c r="B56" s="3"/>
      <c r="C56" s="3"/>
      <c r="D56" s="3"/>
      <c r="E56" s="3"/>
      <c r="F56" s="3"/>
      <c r="G56" s="15"/>
      <c r="H56" s="15"/>
      <c r="I56" s="15"/>
      <c r="J56" s="3"/>
    </row>
    <row r="57" spans="1:10" ht="12.75" x14ac:dyDescent="0.2">
      <c r="A57" s="3"/>
      <c r="B57" s="3"/>
      <c r="C57" s="3"/>
      <c r="D57" s="3"/>
      <c r="E57" s="3"/>
      <c r="F57" s="3"/>
      <c r="G57" s="15"/>
      <c r="H57" s="15"/>
      <c r="I57" s="15"/>
      <c r="J57" s="3"/>
    </row>
    <row r="58" spans="1:10" ht="12.75" x14ac:dyDescent="0.2">
      <c r="A58" s="3"/>
      <c r="B58" s="3"/>
      <c r="C58" s="3"/>
      <c r="D58" s="3"/>
      <c r="E58" s="3"/>
      <c r="F58" s="3"/>
      <c r="G58" s="15"/>
      <c r="H58" s="15"/>
      <c r="I58" s="15"/>
      <c r="J58" s="3"/>
    </row>
    <row r="59" spans="1:10" ht="12.75" x14ac:dyDescent="0.2">
      <c r="A59" s="3"/>
      <c r="B59" s="3"/>
      <c r="C59" s="3"/>
      <c r="D59" s="3"/>
      <c r="E59" s="3"/>
      <c r="F59" s="3"/>
      <c r="G59" s="15"/>
      <c r="H59" s="15"/>
      <c r="I59" s="15"/>
      <c r="J59" s="3"/>
    </row>
    <row r="60" spans="1:10" ht="12.75" x14ac:dyDescent="0.2">
      <c r="A60" s="3"/>
      <c r="B60" s="3"/>
      <c r="C60" s="3"/>
      <c r="D60" s="3"/>
      <c r="E60" s="3"/>
      <c r="F60" s="3"/>
      <c r="G60" s="15"/>
      <c r="H60" s="15"/>
      <c r="I60" s="15"/>
      <c r="J60" s="3"/>
    </row>
    <row r="61" spans="1:10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 ht="12.75" x14ac:dyDescent="0.2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 ht="12.75" x14ac:dyDescent="0.2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ht="12.75" x14ac:dyDescent="0.2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 ht="12.75" x14ac:dyDescent="0.2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 ht="12.75" x14ac:dyDescent="0.2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 ht="12.75" x14ac:dyDescent="0.2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 ht="12.75" x14ac:dyDescent="0.2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 ht="12.75" x14ac:dyDescent="0.2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 ht="12.75" x14ac:dyDescent="0.2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 ht="12.75" x14ac:dyDescent="0.2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 ht="12.75" x14ac:dyDescent="0.2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 ht="12.75" x14ac:dyDescent="0.2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 ht="12.75" x14ac:dyDescent="0.2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 ht="12.75" x14ac:dyDescent="0.2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 ht="12.75" x14ac:dyDescent="0.2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 ht="12.75" x14ac:dyDescent="0.2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 ht="12.75" x14ac:dyDescent="0.2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 ht="12.75" x14ac:dyDescent="0.2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 ht="12.75" x14ac:dyDescent="0.2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 ht="12.75" x14ac:dyDescent="0.2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 ht="12.75" x14ac:dyDescent="0.2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 ht="12.75" x14ac:dyDescent="0.2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 ht="12.75" x14ac:dyDescent="0.2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 ht="12.75" x14ac:dyDescent="0.2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 ht="12.75" x14ac:dyDescent="0.2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 ht="12.75" x14ac:dyDescent="0.2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ht="12.75" x14ac:dyDescent="0.2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 ht="12.75" x14ac:dyDescent="0.2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 ht="12.75" x14ac:dyDescent="0.2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0" ht="12.75" x14ac:dyDescent="0.2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0" ht="12.75" x14ac:dyDescent="0.2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0" ht="12.75" x14ac:dyDescent="0.2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0" ht="12.75" x14ac:dyDescent="0.2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0" ht="12.75" x14ac:dyDescent="0.2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0" ht="12.75" x14ac:dyDescent="0.2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0" ht="12.75" x14ac:dyDescent="0.2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0" ht="12.75" x14ac:dyDescent="0.2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0" ht="12.75" x14ac:dyDescent="0.2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0" ht="12.75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0" ht="12.75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0" ht="12.75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0" ht="12.75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0" ht="12.75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spans="1:10" ht="12.75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spans="1:10" ht="12.75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spans="1:10" ht="12.75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spans="1:10" ht="12.75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spans="1:10" ht="12.75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spans="1:10" ht="12.75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spans="1:10" ht="12.75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spans="1:10" ht="12.75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spans="1:10" ht="12.75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spans="1:10" ht="12.75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spans="1:10" ht="12.75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 ht="12.75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 ht="12.75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 ht="12.75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 ht="12.75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 ht="12.75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 ht="12.75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 ht="12.75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 ht="12.75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 ht="12.75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 ht="12.75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 ht="12.75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 ht="12.75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 ht="12.75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0" ht="12.75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spans="1:10" ht="12.75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spans="1:10" ht="12.75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spans="1:10" ht="12.75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spans="1:10" ht="12.75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spans="1:10" ht="12.75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spans="1:10" ht="12.75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spans="1:10" ht="12.75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spans="1:10" ht="12.75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spans="1:10" ht="12.75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spans="1:10" ht="12.75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spans="1:10" ht="12.75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spans="1:10" ht="12.75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spans="1:10" ht="12.75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spans="1:10" ht="12.75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spans="1:10" ht="12.75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spans="1:10" ht="12.75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spans="1:10" ht="12.75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spans="1:10" ht="12.75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spans="1:10" ht="12.75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spans="1:10" ht="12.75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spans="1:10" ht="12.75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spans="1:10" ht="12.75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spans="1:10" ht="12.75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spans="1:10" ht="12.75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spans="1:10" ht="12.75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spans="1:10" ht="12.75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spans="1:10" ht="12.75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spans="1:10" ht="12.75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spans="1:10" ht="12.75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spans="1:10" ht="12.75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spans="1:10" ht="12.75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spans="1:10" ht="12.75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spans="1:10" ht="12.75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spans="1:10" ht="12.75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spans="1:10" ht="12.75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spans="1:10" ht="12.75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spans="1:10" ht="12.75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spans="1:10" ht="12.75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spans="1:10" ht="12.75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spans="1:10" ht="12.75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spans="1:10" ht="12.75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spans="1:10" ht="12.75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spans="1:10" ht="12.75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spans="1:10" ht="12.75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spans="1:10" ht="12.75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spans="1:10" ht="12.75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spans="1:10" ht="12.75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spans="1:10" ht="12.75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spans="1:10" ht="12.75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spans="1:10" ht="12.75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spans="1:10" ht="12.75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spans="1:10" ht="12.75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spans="1:10" ht="12.75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spans="1:10" ht="12.75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spans="1:10" ht="12.75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spans="1:10" ht="12.75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spans="1:10" ht="12.75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spans="1:10" ht="12.75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spans="1:10" ht="12.75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spans="1:10" ht="12.75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spans="1:10" ht="12.75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spans="1:10" ht="12.75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spans="1:10" ht="12.75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spans="1:10" ht="12.75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spans="1:10" ht="12.75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spans="1:10" ht="12.75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spans="1:10" ht="12.75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spans="1:10" ht="12.75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spans="1:10" ht="12.75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spans="1:10" ht="12.75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spans="1:10" ht="12.75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spans="1:10" ht="12.75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spans="1:10" ht="12.75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spans="1:10" ht="12.75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spans="1:10" ht="12.75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spans="1:10" ht="12.75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spans="1:10" ht="12.75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spans="1:10" ht="12.75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spans="1:10" ht="12.75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spans="1:10" ht="12.75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spans="1:10" ht="12.75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spans="1:10" ht="12.75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spans="1:10" ht="12.75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spans="1:10" ht="12.75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spans="1:10" ht="12.75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spans="1:10" ht="12.75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spans="1:10" ht="12.75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spans="1:10" ht="12.75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spans="1:10" ht="12.75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spans="1:10" ht="12.75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spans="1:10" ht="12.75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spans="1:10" ht="12.75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spans="1:10" ht="12.75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spans="1:10" ht="12.75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spans="1:10" ht="12.75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spans="1:10" ht="12.75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spans="1:10" ht="12.75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spans="1:10" ht="12.75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spans="1:10" ht="12.75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spans="1:10" ht="12.75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spans="1:10" ht="12.75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spans="1:10" ht="12.75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spans="1:10" ht="12.75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spans="1:10" ht="12.75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spans="1:10" ht="12.75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spans="1:10" ht="12.75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spans="1:10" ht="12.75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spans="1:10" ht="12.75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spans="1:10" ht="12.75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spans="1:10" ht="12.75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spans="1:10" ht="12.75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spans="1:10" ht="12.75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spans="1:10" ht="12.75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spans="1:10" ht="12.75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spans="1:10" ht="12.75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spans="1:10" ht="12.75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spans="1:10" ht="12.75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spans="1:10" ht="12.75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spans="1:10" ht="12.75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spans="1:10" ht="12.75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spans="1:10" ht="12.75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spans="1:10" ht="12.75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spans="1:10" ht="12.75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spans="1:10" ht="12.75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spans="1:10" ht="12.75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spans="1:10" ht="12.75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spans="1:10" ht="12.75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spans="1:10" ht="12.75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spans="1:10" ht="12.75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spans="1:10" ht="12.75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spans="1:10" ht="12.75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spans="1:10" ht="12.75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spans="1:10" ht="12.75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spans="1:10" ht="12.75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spans="1:10" ht="12.75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spans="1:10" ht="12.75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spans="1:10" ht="12.75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spans="1:10" ht="12.75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spans="1:10" ht="12.75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spans="1:10" ht="12.75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spans="1:10" ht="12.75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spans="1:10" ht="12.75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spans="1:10" ht="12.75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spans="1:10" ht="12.75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spans="1:10" ht="12.75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spans="1:10" ht="12.75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spans="1:10" ht="12.75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spans="1:10" ht="12.75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spans="1:10" ht="12.75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spans="1:10" ht="12.75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spans="1:10" ht="12.75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spans="1:10" ht="12.75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spans="1:10" ht="12.75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spans="1:10" ht="12.75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spans="1:10" ht="12.75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spans="1:10" ht="12.75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spans="1:10" ht="12.75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spans="1:10" ht="12.75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spans="1:10" ht="12.75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spans="1:10" ht="12.75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spans="1:10" ht="12.75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spans="1:10" ht="12.75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spans="1:10" ht="12.75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spans="1:10" ht="12.75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spans="1:10" ht="12.75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spans="1:10" ht="12.75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spans="1:10" ht="12.75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spans="1:10" ht="12.75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spans="1:10" ht="12.75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spans="1:10" ht="12.75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spans="1:10" ht="12.75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spans="1:10" ht="12.75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spans="1:10" ht="12.75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spans="1:10" ht="12.75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spans="1:10" ht="12.75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spans="1:10" ht="12.75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spans="1:10" ht="12.75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spans="1:10" ht="12.75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spans="1:10" ht="12.75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spans="1:10" ht="12.75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spans="1:10" ht="12.75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spans="1:10" ht="12.75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spans="1:10" ht="12.75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spans="1:10" ht="12.75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spans="1:10" ht="12.75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spans="1:10" ht="12.75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spans="1:10" ht="12.75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spans="1:10" ht="12.75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spans="1:10" ht="12.75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spans="1:10" ht="12.75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spans="1:10" ht="12.75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spans="1:10" ht="12.75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spans="1:10" ht="12.75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spans="1:10" ht="12.75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spans="1:10" ht="12.75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spans="1:10" ht="12.75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spans="1:10" ht="12.75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spans="1:10" ht="12.75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spans="1:10" ht="12.75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spans="1:10" ht="12.75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spans="1:10" ht="12.75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spans="1:10" ht="12.75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spans="1:10" ht="12.75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spans="1:10" ht="12.75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spans="1:10" ht="12.75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spans="1:10" ht="12.75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spans="1:10" ht="12.75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spans="1:10" ht="12.75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spans="1:10" ht="12.75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spans="1:10" ht="12.75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spans="1:10" ht="12.75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spans="1:10" ht="12.75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spans="1:10" ht="12.75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spans="1:10" ht="12.75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spans="1:10" ht="12.75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spans="1:10" ht="12.75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spans="1:10" ht="12.75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spans="1:10" ht="12.75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spans="1:10" ht="12.75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spans="1:10" ht="12.75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spans="1:10" ht="12.75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spans="1:10" ht="12.75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spans="1:10" ht="12.75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spans="1:10" ht="12.75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spans="1:10" ht="12.75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spans="1:10" ht="12.75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spans="1:10" ht="12.75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spans="1:10" ht="12.75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spans="1:10" ht="12.75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spans="1:10" ht="12.75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spans="1:10" ht="12.75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spans="1:10" ht="12.75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spans="1:10" ht="12.75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spans="1:10" ht="12.75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spans="1:10" ht="12.75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spans="1:10" ht="12.75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spans="1:10" ht="12.75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spans="1:10" ht="12.75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spans="1:10" ht="12.75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spans="1:10" ht="12.75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spans="1:10" ht="12.75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spans="1:10" ht="12.75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spans="1:10" ht="12.75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spans="1:10" ht="12.75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spans="1:10" ht="12.75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spans="1:10" ht="12.75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spans="1:10" ht="12.75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spans="1:10" ht="12.75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spans="1:10" ht="12.75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spans="1:10" ht="12.75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spans="1:10" ht="12.75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spans="1:10" ht="12.75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spans="1:10" ht="12.75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spans="1:10" ht="12.75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spans="1:10" ht="12.75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spans="1:10" ht="12.75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spans="1:10" ht="12.75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spans="1:10" ht="12.75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spans="1:10" ht="12.75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spans="1:10" ht="12.75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spans="1:10" ht="12.75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spans="1:10" ht="12.75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spans="1:10" ht="12.75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spans="1:10" ht="12.75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spans="1:10" ht="12.75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spans="1:10" ht="12.75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spans="1:10" ht="12.75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spans="1:10" ht="12.75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spans="1:10" ht="12.75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spans="1:10" ht="12.75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spans="1:10" ht="12.75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spans="1:10" ht="12.75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spans="1:10" ht="12.75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spans="1:10" ht="12.75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spans="1:10" ht="12.75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spans="1:10" ht="12.75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spans="1:10" ht="12.75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spans="1:10" ht="12.75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spans="1:10" ht="12.75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spans="1:10" ht="12.75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spans="1:10" ht="12.75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spans="1:10" ht="12.75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spans="1:10" ht="12.75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spans="1:10" ht="12.75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spans="1:10" ht="12.75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spans="1:10" ht="12.75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spans="1:10" ht="12.75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spans="1:10" ht="12.75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spans="1:10" ht="12.75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spans="1:10" ht="12.75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spans="1:10" ht="12.75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spans="1:10" ht="12.75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spans="1:10" ht="12.75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spans="1:10" ht="12.75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spans="1:10" ht="12.75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spans="1:10" ht="12.75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spans="1:10" ht="12.75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spans="1:10" ht="12.75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spans="1:10" ht="12.75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spans="1:10" ht="12.75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spans="1:10" ht="12.75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spans="1:10" ht="12.75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spans="1:10" ht="12.75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spans="1:10" ht="12.75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spans="1:10" ht="12.75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spans="1:10" ht="12.75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spans="1:10" ht="12.75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spans="1:10" ht="12.75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spans="1:10" ht="12.75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spans="1:10" ht="12.75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spans="1:10" ht="12.75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spans="1:10" ht="12.75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spans="1:10" ht="12.75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spans="1:10" ht="12.75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spans="1:10" ht="12.75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spans="1:10" ht="12.75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spans="1:10" ht="12.75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spans="1:10" ht="12.75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spans="1:10" ht="12.75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spans="1:10" ht="12.75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spans="1:10" ht="12.75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spans="1:10" ht="12.75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spans="1:10" ht="12.75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spans="1:10" ht="12.75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spans="1:10" ht="12.75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spans="1:10" ht="12.75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spans="1:10" ht="12.75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spans="1:10" ht="12.75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spans="1:10" ht="12.75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spans="1:10" ht="12.75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spans="1:10" ht="12.75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spans="1:10" ht="12.75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spans="1:10" ht="12.75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spans="1:10" ht="12.75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spans="1:10" ht="12.75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spans="1:10" ht="12.75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spans="1:10" ht="12.75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spans="1:10" ht="12.75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spans="1:10" ht="12.75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spans="1:10" ht="12.75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spans="1:10" ht="12.75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spans="1:10" ht="12.75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spans="1:10" ht="12.75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spans="1:10" ht="12.75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spans="1:10" ht="12.75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spans="1:10" ht="12.75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spans="1:10" ht="12.75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spans="1:10" ht="12.75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spans="1:10" ht="12.75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spans="1:10" ht="12.75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spans="1:10" ht="12.75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spans="1:10" ht="12.75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spans="1:10" ht="12.75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spans="1:10" ht="12.75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spans="1:10" ht="12.75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spans="1:10" ht="12.75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spans="1:10" ht="12.75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spans="1:10" ht="12.75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spans="1:10" ht="12.75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spans="1:10" ht="12.75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spans="1:10" ht="12.75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spans="1:10" ht="12.75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spans="1:10" ht="12.75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spans="1:10" ht="12.75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spans="1:10" ht="12.75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spans="1:10" ht="12.75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spans="1:10" ht="12.75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spans="1:10" ht="12.75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spans="1:10" ht="12.75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spans="1:10" ht="12.75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spans="1:10" ht="12.75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spans="1:10" ht="12.75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spans="1:10" ht="12.75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spans="1:10" ht="12.75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spans="1:10" ht="12.75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spans="1:10" ht="12.75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spans="1:10" ht="12.75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spans="1:10" ht="12.75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spans="1:10" ht="12.75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spans="1:10" ht="12.75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spans="1:10" ht="12.75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spans="1:10" ht="12.75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spans="1:10" ht="12.75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spans="1:10" ht="12.75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spans="1:10" ht="12.75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spans="1:10" ht="12.75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spans="1:10" ht="12.75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spans="1:10" ht="12.75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spans="1:10" ht="12.75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spans="1:10" ht="12.75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spans="1:10" ht="12.75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spans="1:10" ht="12.75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spans="1:10" ht="12.75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spans="1:10" ht="12.75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spans="1:10" ht="12.75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spans="1:10" ht="12.75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spans="1:10" ht="12.75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spans="1:10" ht="12.75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spans="1:10" ht="12.75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spans="1:10" ht="12.75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spans="1:10" ht="12.75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spans="1:10" ht="12.75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spans="1:10" ht="12.75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spans="1:10" ht="12.75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spans="1:10" ht="12.75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spans="1:10" ht="12.75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spans="1:10" ht="12.75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spans="1:10" ht="12.75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spans="1:10" ht="12.75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spans="1:10" ht="12.75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spans="1:10" ht="12.75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spans="1:10" ht="12.75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spans="1:10" ht="12.75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spans="1:10" ht="12.75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spans="1:10" ht="12.75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spans="1:10" ht="12.75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spans="1:10" ht="12.75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spans="1:10" ht="12.75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spans="1:10" ht="12.75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spans="1:10" ht="12.75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spans="1:10" ht="12.75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spans="1:10" ht="12.75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spans="1:10" ht="12.75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spans="1:10" ht="12.75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spans="1:10" ht="12.75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spans="1:10" ht="12.75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spans="1:10" ht="12.75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spans="1:10" ht="12.75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spans="1:10" ht="12.75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spans="1:10" ht="12.75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spans="1:10" ht="12.75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spans="1:10" ht="12.75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spans="1:10" ht="12.75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spans="1:10" ht="12.75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spans="1:10" ht="12.75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spans="1:10" ht="12.75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spans="1:10" ht="12.75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spans="1:10" ht="12.75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spans="1:10" ht="12.75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spans="1:10" ht="12.75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spans="1:10" ht="12.75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spans="1:10" ht="12.75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spans="1:10" ht="12.75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spans="1:10" ht="12.75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spans="1:10" ht="12.75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spans="1:10" ht="12.75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spans="1:10" ht="12.75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spans="1:10" ht="12.75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spans="1:10" ht="12.75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spans="1:10" ht="12.75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spans="1:10" ht="12.75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spans="1:10" ht="12.75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spans="1:10" ht="12.75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spans="1:10" ht="12.75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spans="1:10" ht="12.75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spans="1:10" ht="12.75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spans="1:10" ht="12.75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spans="1:10" ht="12.75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spans="1:10" ht="12.75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spans="1:10" ht="12.75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spans="1:10" ht="12.75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spans="1:10" ht="12.75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spans="1:10" ht="12.75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spans="1:10" ht="12.75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spans="1:10" ht="12.75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spans="1:10" ht="12.75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spans="1:10" ht="12.75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spans="1:10" ht="12.75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spans="1:10" ht="12.75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spans="1:10" ht="12.75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spans="1:10" ht="12.75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spans="1:10" ht="12.75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spans="1:10" ht="12.75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spans="1:10" ht="12.75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spans="1:10" ht="12.75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spans="1:10" ht="12.75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spans="1:10" ht="12.75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spans="1:10" ht="12.75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spans="1:10" ht="12.75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spans="1:10" ht="12.75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spans="1:10" ht="12.75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spans="1:10" ht="12.75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spans="1:10" ht="12.75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spans="1:10" ht="12.75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spans="1:10" ht="12.75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spans="1:10" ht="12.75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spans="1:10" ht="12.75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spans="1:10" ht="12.75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spans="1:10" ht="12.75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spans="1:10" ht="12.75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spans="1:10" ht="12.75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spans="1:10" ht="12.75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spans="1:10" ht="12.75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spans="1:10" ht="12.75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spans="1:10" ht="12.75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spans="1:10" ht="12.75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spans="1:10" ht="12.75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spans="1:10" ht="12.75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spans="1:10" ht="12.75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spans="1:10" ht="12.75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spans="1:10" ht="12.75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spans="1:10" ht="12.75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spans="1:10" ht="12.75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spans="1:10" ht="12.75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spans="1:10" ht="12.75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spans="1:10" ht="12.75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spans="1:10" ht="12.75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spans="1:10" ht="12.75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spans="1:10" ht="12.75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spans="1:10" ht="12.75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spans="1:10" ht="12.75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spans="1:10" ht="12.75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spans="1:10" ht="12.75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spans="1:10" ht="12.75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spans="1:10" ht="12.75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spans="1:10" ht="12.75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spans="1:10" ht="12.75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spans="1:10" ht="12.75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spans="1:10" ht="12.75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spans="1:10" ht="12.75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spans="1:10" ht="12.75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spans="1:10" ht="12.75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spans="1:10" ht="12.75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spans="1:10" ht="12.75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spans="1:10" ht="12.75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spans="1:10" ht="12.75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spans="1:10" ht="12.75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spans="1:10" ht="12.75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spans="1:10" ht="12.75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spans="1:10" ht="12.75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spans="1:10" ht="12.75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spans="1:10" ht="12.75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spans="1:10" ht="12.75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spans="1:10" ht="12.75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spans="1:10" ht="12.75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spans="1:10" ht="12.75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spans="1:10" ht="12.75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spans="1:10" ht="12.75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spans="1:10" ht="12.75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spans="1:10" ht="12.75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spans="1:10" ht="12.75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spans="1:10" ht="12.75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spans="1:10" ht="12.75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spans="1:10" ht="12.75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spans="1:10" ht="12.75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spans="1:10" ht="12.75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spans="1:10" ht="12.75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spans="1:10" ht="12.75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spans="1:10" ht="12.75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spans="1:10" ht="12.75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spans="1:10" ht="12.75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spans="1:10" ht="12.75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spans="1:10" ht="12.75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spans="1:10" ht="12.75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spans="1:10" ht="12.75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spans="1:10" ht="12.75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spans="1:10" ht="12.75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spans="1:10" ht="12.75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spans="1:10" ht="12.75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spans="1:10" ht="12.75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spans="1:10" ht="12.75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spans="1:10" ht="12.75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spans="1:10" ht="12.75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spans="1:10" ht="12.75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spans="1:10" ht="12.75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spans="1:10" ht="12.75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spans="1:10" ht="12.75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spans="1:10" ht="12.75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spans="1:10" ht="12.75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spans="1:10" ht="12.75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spans="1:10" ht="12.75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spans="1:10" ht="12.75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spans="1:10" ht="12.75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spans="1:10" ht="12.75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spans="1:10" ht="12.75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spans="1:10" ht="12.75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spans="1:10" ht="12.75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spans="1:10" ht="12.75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spans="1:10" ht="12.75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spans="1:10" ht="12.75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spans="1:10" ht="12.75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spans="1:10" ht="12.75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spans="1:10" ht="12.75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spans="1:10" ht="12.75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spans="1:10" ht="12.75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spans="1:10" ht="12.75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spans="1:10" ht="12.75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spans="1:10" ht="12.75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spans="1:10" ht="12.75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spans="1:10" ht="12.75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spans="1:10" ht="12.75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spans="1:10" ht="12.75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spans="1:10" ht="12.75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spans="1:10" ht="12.75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spans="1:10" ht="12.75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spans="1:10" ht="12.75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spans="1:10" ht="12.75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spans="1:10" ht="12.75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spans="1:10" ht="12.75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spans="1:10" ht="12.75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spans="1:10" ht="12.75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spans="1:10" ht="12.75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spans="1:10" ht="12.75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spans="1:10" ht="12.75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spans="1:10" ht="12.75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spans="1:10" ht="12.75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spans="1:10" ht="12.75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spans="1:10" ht="12.75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spans="1:10" ht="12.75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spans="1:10" ht="12.75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spans="1:10" ht="12.75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spans="1:10" ht="12.75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spans="1:10" ht="12.75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spans="1:10" ht="12.75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spans="1:10" ht="12.75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spans="1:10" ht="12.75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spans="1:10" ht="12.75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spans="1:10" ht="12.75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spans="1:10" ht="12.75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spans="1:10" ht="12.75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spans="1:10" ht="12.75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spans="1:10" ht="12.75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spans="1:10" ht="12.75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spans="1:10" ht="12.75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spans="1:10" ht="12.75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spans="1:10" ht="12.75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spans="1:10" ht="12.75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spans="1:10" ht="12.75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spans="1:10" ht="12.75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spans="1:10" ht="12.75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spans="1:10" ht="12.75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spans="1:10" ht="12.75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spans="1:10" ht="12.75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spans="1:10" ht="12.75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spans="1:10" ht="12.75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spans="1:10" ht="12.75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spans="1:10" ht="12.75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spans="1:10" ht="12.75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spans="1:10" ht="12.75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spans="1:10" ht="12.75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spans="1:10" ht="12.75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spans="1:10" ht="12.75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spans="1:10" ht="12.75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spans="1:10" ht="12.75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spans="1:10" ht="12.75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spans="1:10" ht="12.75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spans="1:10" ht="12.75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spans="1:10" ht="12.75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spans="1:10" ht="12.75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spans="1:10" ht="12.75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spans="1:10" ht="12.75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spans="1:10" ht="12.75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spans="1:10" ht="12.75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spans="1:10" ht="12.75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spans="1:10" ht="12.75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spans="1:10" ht="12.75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spans="1:10" ht="12.75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spans="1:10" ht="12.75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spans="1:10" ht="12.75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spans="1:10" ht="12.75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spans="1:10" ht="12.75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spans="1:10" ht="12.75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spans="1:10" ht="12.75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spans="1:10" ht="12.75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spans="1:10" ht="12.75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spans="1:10" ht="12.75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spans="1:10" ht="12.75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spans="1:10" ht="12.75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spans="1:10" ht="12.75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spans="1:10" ht="12.75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spans="1:10" ht="12.75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spans="1:10" ht="12.75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spans="1:10" ht="12.75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spans="1:10" ht="12.75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spans="1:10" ht="12.75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spans="1:10" ht="12.75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spans="1:10" ht="12.75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spans="1:10" ht="12.75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spans="1:10" ht="12.75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spans="1:10" ht="12.75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spans="1:10" ht="12.75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spans="1:10" ht="12.75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spans="1:10" ht="12.75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spans="1:10" ht="12.75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spans="1:10" ht="12.75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spans="1:10" ht="12.75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spans="1:10" ht="12.75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spans="1:10" ht="12.75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spans="1:10" ht="12.75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spans="1:10" ht="12.75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spans="1:10" ht="12.75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spans="1:10" ht="12.75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spans="1:10" ht="12.75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spans="1:10" ht="12.75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spans="1:10" ht="12.75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spans="1:10" ht="12.75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spans="1:10" ht="12.75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spans="1:10" ht="12.75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spans="1:10" ht="12.75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spans="1:10" ht="12.75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spans="1:10" ht="12.75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spans="1:10" ht="12.75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spans="1:10" ht="12.75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spans="1:10" ht="12.75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spans="1:10" ht="12.75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spans="1:10" ht="12.75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spans="1:10" ht="12.75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spans="1:10" ht="12.75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spans="1:10" ht="12.75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spans="1:10" ht="12.75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spans="1:10" ht="12.75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spans="1:10" ht="12.75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spans="1:10" ht="12.75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spans="1:10" ht="12.75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spans="1:10" ht="12.75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spans="1:10" ht="12.75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spans="1:10" ht="12.75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spans="1:10" ht="12.75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spans="1:10" ht="12.75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spans="1:10" ht="12.75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spans="1:10" ht="12.75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spans="1:10" ht="12.75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spans="1:10" ht="12.75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spans="1:10" ht="12.75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spans="1:10" ht="12.75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spans="1:10" ht="12.75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spans="1:10" ht="12.75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spans="1:10" ht="12.75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spans="1:10" ht="12.75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spans="1:10" ht="12.75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spans="1:10" ht="12.75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spans="1:10" ht="12.75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spans="1:10" ht="12.75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spans="1:10" ht="12.75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spans="1:10" ht="12.75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spans="1:10" ht="12.75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spans="1:10" ht="12.75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spans="1:10" ht="12.75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spans="1:10" ht="12.75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spans="1:10" ht="12.75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spans="1:10" ht="12.75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spans="1:10" ht="12.75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spans="1:10" ht="12.75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spans="1:10" ht="12.75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spans="1:10" ht="12.75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spans="1:10" ht="12.75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spans="1:10" ht="12.75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spans="1:10" ht="12.75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spans="1:10" ht="12.75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spans="1:10" ht="12.75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spans="1:10" ht="12.75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spans="1:10" ht="12.75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spans="1:10" ht="12.75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spans="1:10" ht="12.75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spans="1:10" ht="12.75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spans="1:10" ht="12.75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spans="1:10" ht="12.75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spans="1:10" ht="12.75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spans="1:10" ht="12.75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spans="1:10" ht="12.75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spans="1:10" ht="12.75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spans="1:10" ht="12.75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spans="1:10" ht="12.75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spans="1:10" ht="12.75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spans="1:10" ht="12.75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spans="1:10" ht="12.75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spans="1:10" ht="12.75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spans="1:10" ht="12.75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spans="1:10" ht="12.75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spans="1:10" ht="12.75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spans="1:10" ht="12.75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spans="1:10" ht="12.75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spans="1:10" ht="12.75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spans="1:10" ht="12.75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spans="1:10" ht="12.75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spans="1:10" ht="12.75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spans="1:10" ht="12.75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spans="1:10" ht="12.75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spans="1:10" ht="12.75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spans="1:10" ht="12.75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spans="1:10" ht="12.75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spans="1:10" ht="12.75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spans="1:10" ht="12.75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spans="1:10" ht="12.75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spans="1:10" ht="12.75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spans="1:10" ht="12.75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spans="1:10" ht="12.75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spans="1:10" ht="12.75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spans="1:10" ht="12.75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spans="1:10" ht="12.75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spans="1:10" ht="12.75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spans="1:10" ht="12.75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spans="1:10" ht="12.75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spans="1:10" ht="12.75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spans="1:10" ht="12.75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spans="1:10" ht="12.75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spans="1:10" ht="12.75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spans="1:10" ht="12.75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spans="1:10" ht="12.75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spans="1:10" ht="12.75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spans="1:10" ht="12.75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spans="1:10" ht="12.75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spans="1:10" ht="12.75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spans="1:10" ht="12.75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spans="1:10" ht="12.75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spans="1:10" ht="12.75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spans="1:10" ht="12.75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spans="1:10" ht="12.75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spans="1:10" ht="12.75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spans="1:10" ht="12.75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spans="1:10" ht="12.75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spans="1:10" ht="12.75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spans="1:10" ht="12.75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spans="1:10" ht="12.75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spans="1:10" ht="12.75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spans="1:10" ht="12.75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spans="1:10" ht="12.75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spans="1:10" ht="12.75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spans="1:10" ht="12.75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spans="1:10" ht="12.75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spans="1:10" ht="12.75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spans="1:10" ht="12.75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spans="1:10" ht="12.75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spans="1:10" ht="12.75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spans="1:10" ht="12.75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spans="1:10" ht="12.75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spans="1:10" ht="12.75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spans="1:10" ht="12.75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spans="1:10" ht="12.75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spans="1:10" ht="12.75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spans="1:10" ht="12.75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spans="1:10" ht="12.75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spans="1:10" ht="12.75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spans="1:10" ht="12.75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spans="1:10" ht="12.75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spans="1:10" ht="12.75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spans="1:10" ht="12.75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spans="1:10" ht="12.75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spans="1:10" ht="12.75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spans="1:10" ht="12.75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spans="1:10" ht="12.75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spans="1:10" ht="12.75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spans="1:10" ht="12.75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spans="1:10" ht="12.75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spans="1:10" ht="12.75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spans="1:10" ht="12.75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spans="1:10" ht="12.75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spans="1:10" ht="12.75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spans="1:10" ht="12.75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spans="1:10" ht="12.75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spans="1:10" ht="12.75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spans="1:10" ht="12.75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spans="1:10" ht="12.75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spans="1:10" ht="12.75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spans="1:10" ht="12.75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spans="1:10" ht="12.75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spans="1:10" ht="12.75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spans="1:10" ht="12.75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spans="1:10" ht="12.75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spans="1:10" ht="12.75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spans="1:10" ht="12.75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spans="1:10" ht="12.75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spans="1:10" ht="12.75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spans="1:10" ht="12.75" x14ac:dyDescent="0.2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spans="1:10" ht="12.75" x14ac:dyDescent="0.2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spans="1:10" ht="12.75" x14ac:dyDescent="0.2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spans="1:10" ht="12.75" x14ac:dyDescent="0.2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spans="1:10" ht="12.75" x14ac:dyDescent="0.2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spans="1:10" ht="12.75" x14ac:dyDescent="0.2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spans="1:10" ht="12.75" x14ac:dyDescent="0.2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spans="1:10" ht="12.75" x14ac:dyDescent="0.2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autoFilter ref="A1:J40" xr:uid="{00000000-0009-0000-0000-000003000000}"/>
  <conditionalFormatting sqref="C13:D31">
    <cfRule type="containsText" dxfId="56" priority="1" operator="containsText" text="Done">
      <formula>NOT(ISERROR(SEARCH(("Done"),(C13))))</formula>
    </cfRule>
  </conditionalFormatting>
  <conditionalFormatting sqref="C2:F12 I2:I12 I14:I24 I26:I36 I38:I48 I50:I60">
    <cfRule type="containsText" dxfId="55" priority="13" operator="containsText" text="Done">
      <formula>NOT(ISERROR(SEARCH(("Done"),(C2))))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41C20-11AD-49F8-8FD1-A3F0BBFE451C}">
  <dimension ref="A1:K122"/>
  <sheetViews>
    <sheetView workbookViewId="0">
      <selection activeCell="E9" sqref="E9"/>
    </sheetView>
  </sheetViews>
  <sheetFormatPr defaultRowHeight="18" x14ac:dyDescent="0.25"/>
  <cols>
    <col min="1" max="1" width="19.5703125" bestFit="1" customWidth="1"/>
    <col min="2" max="2" width="18.140625" bestFit="1" customWidth="1"/>
    <col min="3" max="3" width="46.7109375" style="188" bestFit="1" customWidth="1"/>
    <col min="4" max="4" width="32.85546875" bestFit="1" customWidth="1"/>
    <col min="5" max="6" width="11.5703125" bestFit="1" customWidth="1"/>
    <col min="7" max="7" width="10.42578125" bestFit="1" customWidth="1"/>
    <col min="8" max="8" width="15.85546875" bestFit="1" customWidth="1"/>
    <col min="9" max="9" width="15.7109375" bestFit="1" customWidth="1"/>
    <col min="10" max="10" width="20.42578125" bestFit="1" customWidth="1"/>
    <col min="11" max="11" width="17.5703125" bestFit="1" customWidth="1"/>
  </cols>
  <sheetData>
    <row r="1" spans="1:11" ht="18.75" x14ac:dyDescent="0.3">
      <c r="A1" s="1" t="s">
        <v>1</v>
      </c>
      <c r="B1" s="1" t="s">
        <v>343</v>
      </c>
      <c r="C1" s="183" t="s">
        <v>3</v>
      </c>
      <c r="D1" s="1" t="s">
        <v>4</v>
      </c>
      <c r="E1" s="1" t="s">
        <v>5</v>
      </c>
      <c r="F1" s="1" t="s">
        <v>6</v>
      </c>
      <c r="G1" s="1" t="s">
        <v>344</v>
      </c>
      <c r="H1" s="2" t="s">
        <v>8</v>
      </c>
      <c r="I1" s="32" t="s">
        <v>9</v>
      </c>
      <c r="J1" s="32" t="s">
        <v>10</v>
      </c>
      <c r="K1" s="32" t="s">
        <v>11</v>
      </c>
    </row>
    <row r="2" spans="1:11" ht="18.75" x14ac:dyDescent="0.3">
      <c r="A2" s="4" t="s">
        <v>399</v>
      </c>
      <c r="B2" s="4" t="s">
        <v>20</v>
      </c>
      <c r="C2" s="165" t="s">
        <v>127</v>
      </c>
      <c r="D2" s="136" t="s">
        <v>95</v>
      </c>
      <c r="E2" s="40"/>
      <c r="F2" s="30"/>
      <c r="G2" s="30"/>
      <c r="H2" s="30"/>
      <c r="I2" s="30"/>
      <c r="J2" s="30"/>
      <c r="K2" s="30"/>
    </row>
    <row r="3" spans="1:11" ht="18.75" x14ac:dyDescent="0.3">
      <c r="A3" s="136" t="s">
        <v>12</v>
      </c>
      <c r="B3" s="136" t="s">
        <v>20</v>
      </c>
      <c r="C3" s="165" t="s">
        <v>256</v>
      </c>
      <c r="D3" s="136"/>
      <c r="E3" s="142"/>
      <c r="F3" s="142"/>
      <c r="G3" s="139"/>
      <c r="H3" s="139"/>
      <c r="I3" s="143"/>
      <c r="J3" s="143"/>
      <c r="K3" s="139"/>
    </row>
    <row r="4" spans="1:11" ht="18.75" x14ac:dyDescent="0.3">
      <c r="A4" s="4" t="s">
        <v>43</v>
      </c>
      <c r="B4" s="4" t="s">
        <v>20</v>
      </c>
      <c r="C4" s="184" t="s">
        <v>802</v>
      </c>
      <c r="D4" s="33"/>
      <c r="E4" s="40"/>
      <c r="F4" s="40"/>
      <c r="G4" s="30"/>
      <c r="H4" s="30"/>
      <c r="I4" s="30"/>
      <c r="J4" s="30"/>
      <c r="K4" s="30"/>
    </row>
    <row r="5" spans="1:11" ht="18.75" x14ac:dyDescent="0.3">
      <c r="A5" s="4" t="s">
        <v>394</v>
      </c>
      <c r="B5" s="4" t="s">
        <v>20</v>
      </c>
      <c r="C5" s="184" t="s">
        <v>831</v>
      </c>
      <c r="D5" s="30"/>
      <c r="E5" s="40"/>
      <c r="F5" s="40"/>
      <c r="G5" s="30"/>
      <c r="H5" s="30"/>
      <c r="I5" s="30"/>
      <c r="J5" s="30"/>
      <c r="K5" s="30"/>
    </row>
    <row r="6" spans="1:11" ht="18.75" x14ac:dyDescent="0.3">
      <c r="A6" s="4" t="s">
        <v>25</v>
      </c>
      <c r="B6" s="4" t="s">
        <v>20</v>
      </c>
      <c r="C6" s="184" t="s">
        <v>391</v>
      </c>
      <c r="D6" s="30"/>
      <c r="E6" s="40"/>
      <c r="F6" s="40"/>
      <c r="G6" s="30"/>
      <c r="H6" s="30"/>
      <c r="I6" s="30"/>
      <c r="J6" s="30"/>
      <c r="K6" s="30"/>
    </row>
    <row r="7" spans="1:11" ht="18.75" x14ac:dyDescent="0.3">
      <c r="A7" s="4" t="s">
        <v>25</v>
      </c>
      <c r="B7" s="4" t="s">
        <v>241</v>
      </c>
      <c r="C7" s="184" t="s">
        <v>775</v>
      </c>
      <c r="D7" s="30"/>
      <c r="E7" s="40"/>
      <c r="F7" s="40"/>
      <c r="G7" s="30"/>
      <c r="H7" s="30"/>
      <c r="I7" s="30"/>
      <c r="J7" s="30"/>
      <c r="K7" s="30"/>
    </row>
    <row r="8" spans="1:11" ht="18.75" x14ac:dyDescent="0.3">
      <c r="A8" s="4" t="s">
        <v>394</v>
      </c>
      <c r="B8" s="4" t="s">
        <v>13</v>
      </c>
      <c r="C8" s="184" t="s">
        <v>160</v>
      </c>
      <c r="D8" s="30"/>
      <c r="E8" s="40"/>
      <c r="F8" s="30"/>
      <c r="G8" s="30"/>
      <c r="H8" s="30"/>
      <c r="I8" s="30"/>
      <c r="J8" s="30"/>
      <c r="K8" s="30"/>
    </row>
    <row r="9" spans="1:11" ht="18.75" x14ac:dyDescent="0.3">
      <c r="A9" s="4" t="s">
        <v>52</v>
      </c>
      <c r="B9" s="4" t="s">
        <v>20</v>
      </c>
      <c r="C9" s="184" t="s">
        <v>786</v>
      </c>
      <c r="D9" s="44"/>
      <c r="E9" s="5"/>
      <c r="F9" s="6"/>
      <c r="G9" s="9"/>
      <c r="H9" s="3"/>
      <c r="I9" s="33"/>
      <c r="J9" s="33"/>
      <c r="K9" s="33"/>
    </row>
    <row r="10" spans="1:11" ht="18.75" x14ac:dyDescent="0.3">
      <c r="A10" s="4" t="s">
        <v>399</v>
      </c>
      <c r="B10" s="4" t="s">
        <v>20</v>
      </c>
      <c r="C10" s="184" t="s">
        <v>787</v>
      </c>
      <c r="D10" s="44"/>
      <c r="E10" s="5"/>
      <c r="F10" s="6"/>
      <c r="G10" s="9"/>
      <c r="H10" s="3"/>
      <c r="I10" s="33"/>
      <c r="J10" s="33"/>
      <c r="K10" s="33"/>
    </row>
    <row r="11" spans="1:11" ht="18.75" x14ac:dyDescent="0.3">
      <c r="A11" s="4" t="s">
        <v>43</v>
      </c>
      <c r="B11" s="4" t="s">
        <v>13</v>
      </c>
      <c r="C11" s="184" t="s">
        <v>316</v>
      </c>
      <c r="D11" s="30"/>
      <c r="E11" s="40"/>
      <c r="F11" s="30"/>
      <c r="G11" s="30"/>
      <c r="H11" s="30"/>
      <c r="I11" s="30"/>
      <c r="J11" s="30"/>
      <c r="K11" s="30"/>
    </row>
    <row r="12" spans="1:11" ht="18.75" x14ac:dyDescent="0.3">
      <c r="A12" s="4" t="s">
        <v>25</v>
      </c>
      <c r="B12" s="4" t="s">
        <v>20</v>
      </c>
      <c r="C12" s="184" t="s">
        <v>290</v>
      </c>
      <c r="D12" s="30"/>
      <c r="E12" s="40"/>
      <c r="F12" s="30"/>
      <c r="G12" s="30"/>
      <c r="H12" s="30"/>
      <c r="I12" s="30"/>
      <c r="J12" s="30"/>
      <c r="K12" s="30"/>
    </row>
    <row r="13" spans="1:11" ht="18.75" x14ac:dyDescent="0.3">
      <c r="A13" s="4" t="s">
        <v>52</v>
      </c>
      <c r="B13" s="4" t="s">
        <v>13</v>
      </c>
      <c r="C13" s="184" t="s">
        <v>789</v>
      </c>
      <c r="D13" s="30"/>
      <c r="E13" s="40"/>
      <c r="F13" s="40"/>
      <c r="G13" s="30"/>
      <c r="H13" s="30"/>
      <c r="I13" s="30"/>
      <c r="J13" s="30"/>
      <c r="K13" s="30"/>
    </row>
    <row r="14" spans="1:11" ht="18.75" x14ac:dyDescent="0.3">
      <c r="A14" s="93" t="s">
        <v>12</v>
      </c>
      <c r="B14" s="4" t="s">
        <v>13</v>
      </c>
      <c r="C14" s="184" t="s">
        <v>251</v>
      </c>
      <c r="D14" s="44"/>
      <c r="E14" s="5"/>
      <c r="F14" s="5"/>
      <c r="G14" s="9"/>
      <c r="H14" s="3"/>
      <c r="I14" s="33"/>
      <c r="J14" s="33"/>
      <c r="K14" s="33"/>
    </row>
    <row r="15" spans="1:11" ht="18.75" x14ac:dyDescent="0.3">
      <c r="A15" s="94" t="s">
        <v>12</v>
      </c>
      <c r="B15" s="94" t="s">
        <v>13</v>
      </c>
      <c r="C15" s="185" t="s">
        <v>140</v>
      </c>
      <c r="D15" s="30"/>
      <c r="E15" s="40"/>
      <c r="F15" s="30"/>
      <c r="G15" s="30"/>
      <c r="H15" s="30"/>
      <c r="I15" s="30"/>
      <c r="J15" s="30"/>
      <c r="K15" s="30"/>
    </row>
    <row r="16" spans="1:11" ht="18.75" x14ac:dyDescent="0.3">
      <c r="A16" s="4" t="s">
        <v>12</v>
      </c>
      <c r="B16" s="4" t="s">
        <v>20</v>
      </c>
      <c r="C16" s="184" t="s">
        <v>385</v>
      </c>
      <c r="D16" s="30"/>
      <c r="E16" s="40"/>
      <c r="F16" s="30"/>
      <c r="G16" s="30"/>
      <c r="H16" s="30"/>
      <c r="I16" s="30"/>
      <c r="J16" s="30"/>
      <c r="K16" s="30"/>
    </row>
    <row r="17" spans="1:11" ht="18.75" x14ac:dyDescent="0.3">
      <c r="A17" s="4" t="s">
        <v>394</v>
      </c>
      <c r="B17" s="4" t="s">
        <v>13</v>
      </c>
      <c r="C17" s="184" t="s">
        <v>419</v>
      </c>
      <c r="D17" s="30"/>
      <c r="E17" s="40"/>
      <c r="F17" s="30"/>
      <c r="G17" s="30"/>
      <c r="H17" s="30"/>
      <c r="I17" s="30"/>
      <c r="J17" s="30"/>
      <c r="K17" s="30"/>
    </row>
    <row r="18" spans="1:11" ht="18.75" x14ac:dyDescent="0.3">
      <c r="A18" s="37" t="s">
        <v>52</v>
      </c>
      <c r="B18" s="4" t="s">
        <v>13</v>
      </c>
      <c r="C18" s="184" t="s">
        <v>242</v>
      </c>
      <c r="D18" s="44"/>
      <c r="E18" s="40"/>
      <c r="F18" s="30"/>
      <c r="G18" s="30"/>
      <c r="H18" s="30"/>
      <c r="I18" s="33"/>
      <c r="J18" s="33"/>
      <c r="K18" s="33"/>
    </row>
    <row r="19" spans="1:11" ht="18.75" x14ac:dyDescent="0.3">
      <c r="A19" s="94" t="s">
        <v>12</v>
      </c>
      <c r="B19" s="4" t="s">
        <v>20</v>
      </c>
      <c r="C19" s="184" t="s">
        <v>791</v>
      </c>
      <c r="D19" s="30"/>
      <c r="E19" s="40"/>
      <c r="F19" s="30"/>
      <c r="G19" s="30"/>
      <c r="H19" s="30"/>
      <c r="I19" s="30"/>
      <c r="J19" s="30"/>
      <c r="K19" s="30"/>
    </row>
    <row r="20" spans="1:11" ht="18.75" x14ac:dyDescent="0.3">
      <c r="A20" s="4" t="s">
        <v>25</v>
      </c>
      <c r="B20" s="4" t="s">
        <v>13</v>
      </c>
      <c r="C20" s="184" t="s">
        <v>112</v>
      </c>
      <c r="D20" s="30"/>
      <c r="E20" s="40"/>
      <c r="F20" s="30"/>
      <c r="G20" s="30"/>
      <c r="H20" s="30"/>
      <c r="I20" s="30"/>
      <c r="J20" s="30"/>
      <c r="K20" s="30"/>
    </row>
    <row r="21" spans="1:11" ht="18.75" x14ac:dyDescent="0.3">
      <c r="A21" s="4" t="s">
        <v>25</v>
      </c>
      <c r="B21" s="4" t="s">
        <v>20</v>
      </c>
      <c r="C21" s="184" t="s">
        <v>26</v>
      </c>
      <c r="D21" s="44"/>
      <c r="E21" s="40"/>
      <c r="F21" s="30"/>
      <c r="G21" s="96"/>
      <c r="H21" s="30"/>
      <c r="I21" s="30"/>
      <c r="J21" s="30"/>
      <c r="K21" s="30"/>
    </row>
    <row r="22" spans="1:11" ht="18.75" x14ac:dyDescent="0.3">
      <c r="A22" s="4" t="s">
        <v>399</v>
      </c>
      <c r="B22" s="4" t="s">
        <v>13</v>
      </c>
      <c r="C22" s="184" t="s">
        <v>296</v>
      </c>
      <c r="D22" s="30"/>
      <c r="E22" s="40"/>
      <c r="F22" s="30"/>
      <c r="G22" s="30"/>
      <c r="H22" s="30"/>
      <c r="I22" s="30"/>
      <c r="J22" s="30"/>
      <c r="K22" s="30"/>
    </row>
    <row r="23" spans="1:11" ht="18.75" x14ac:dyDescent="0.3">
      <c r="A23" s="4" t="s">
        <v>399</v>
      </c>
      <c r="B23" s="4" t="s">
        <v>20</v>
      </c>
      <c r="C23" s="184" t="s">
        <v>792</v>
      </c>
      <c r="D23" s="44"/>
      <c r="E23" s="40"/>
      <c r="F23" s="30"/>
      <c r="G23" s="30"/>
      <c r="H23" s="30"/>
      <c r="I23" s="30"/>
      <c r="J23" s="30"/>
      <c r="K23" s="30"/>
    </row>
    <row r="24" spans="1:11" ht="18.75" x14ac:dyDescent="0.3">
      <c r="A24" s="4" t="s">
        <v>394</v>
      </c>
      <c r="B24" s="4" t="s">
        <v>20</v>
      </c>
      <c r="C24" s="184" t="s">
        <v>244</v>
      </c>
      <c r="D24" s="30"/>
      <c r="E24" s="40"/>
      <c r="F24" s="30"/>
      <c r="G24" s="30"/>
      <c r="H24" s="30"/>
      <c r="I24" s="30"/>
      <c r="J24" s="30"/>
      <c r="K24" s="30"/>
    </row>
    <row r="25" spans="1:11" ht="18.75" x14ac:dyDescent="0.3">
      <c r="A25" s="4" t="s">
        <v>394</v>
      </c>
      <c r="B25" s="4" t="s">
        <v>13</v>
      </c>
      <c r="C25" s="184" t="s">
        <v>378</v>
      </c>
      <c r="D25" s="30"/>
      <c r="E25" s="40"/>
      <c r="F25" s="30"/>
      <c r="G25" s="30"/>
      <c r="H25" s="30"/>
      <c r="I25" s="30"/>
      <c r="J25" s="30"/>
      <c r="K25" s="30"/>
    </row>
    <row r="26" spans="1:11" ht="18.75" x14ac:dyDescent="0.3">
      <c r="A26" s="4" t="s">
        <v>25</v>
      </c>
      <c r="B26" s="4" t="s">
        <v>13</v>
      </c>
      <c r="C26" s="184" t="s">
        <v>253</v>
      </c>
      <c r="D26" s="30"/>
      <c r="E26" s="40"/>
      <c r="F26" s="30"/>
      <c r="G26" s="30"/>
      <c r="H26" s="30"/>
      <c r="I26" s="30"/>
      <c r="J26" s="30"/>
      <c r="K26" s="30"/>
    </row>
    <row r="27" spans="1:11" ht="18.75" x14ac:dyDescent="0.3">
      <c r="A27" s="4" t="s">
        <v>25</v>
      </c>
      <c r="B27" s="4" t="s">
        <v>13</v>
      </c>
      <c r="C27" s="184" t="s">
        <v>239</v>
      </c>
      <c r="D27" s="30"/>
      <c r="E27" s="40"/>
      <c r="F27" s="30"/>
      <c r="G27" s="30"/>
      <c r="H27" s="30"/>
      <c r="I27" s="30"/>
      <c r="J27" s="30"/>
      <c r="K27" s="30"/>
    </row>
    <row r="28" spans="1:11" ht="18.75" x14ac:dyDescent="0.3">
      <c r="A28" s="4" t="s">
        <v>394</v>
      </c>
      <c r="B28" s="4" t="s">
        <v>20</v>
      </c>
      <c r="C28" s="184" t="s">
        <v>793</v>
      </c>
      <c r="D28" s="33"/>
      <c r="E28" s="40"/>
      <c r="F28" s="30"/>
      <c r="G28" s="30"/>
      <c r="H28" s="30"/>
      <c r="I28" s="30"/>
      <c r="J28" s="30"/>
      <c r="K28" s="30"/>
    </row>
    <row r="29" spans="1:11" ht="18.75" x14ac:dyDescent="0.3">
      <c r="A29" s="4" t="s">
        <v>43</v>
      </c>
      <c r="B29" s="4" t="s">
        <v>13</v>
      </c>
      <c r="C29" s="184" t="s">
        <v>794</v>
      </c>
      <c r="D29" s="33"/>
      <c r="E29" s="40"/>
      <c r="F29" s="30"/>
      <c r="G29" s="30"/>
      <c r="H29" s="30"/>
      <c r="I29" s="30"/>
      <c r="J29" s="30"/>
      <c r="K29" s="30"/>
    </row>
    <row r="30" spans="1:11" ht="14.25" customHeight="1" x14ac:dyDescent="0.3">
      <c r="A30" s="44" t="s">
        <v>52</v>
      </c>
      <c r="B30" s="44" t="s">
        <v>20</v>
      </c>
      <c r="C30" s="186" t="s">
        <v>292</v>
      </c>
      <c r="D30" s="30"/>
      <c r="E30" s="40"/>
      <c r="F30" s="30"/>
      <c r="G30" s="30"/>
      <c r="H30" s="30"/>
      <c r="I30" s="30"/>
      <c r="J30" s="30"/>
      <c r="K30" s="30"/>
    </row>
    <row r="31" spans="1:11" ht="18.75" x14ac:dyDescent="0.3">
      <c r="A31" s="4" t="s">
        <v>25</v>
      </c>
      <c r="B31" s="4" t="s">
        <v>13</v>
      </c>
      <c r="C31" s="184" t="s">
        <v>144</v>
      </c>
      <c r="D31" s="30"/>
      <c r="E31" s="40"/>
      <c r="F31" s="30"/>
      <c r="G31" s="30"/>
      <c r="H31" s="30"/>
      <c r="I31" s="30"/>
      <c r="J31" s="30"/>
      <c r="K31" s="30"/>
    </row>
    <row r="32" spans="1:11" ht="18.75" x14ac:dyDescent="0.3">
      <c r="A32" s="4" t="s">
        <v>43</v>
      </c>
      <c r="B32" s="4" t="s">
        <v>20</v>
      </c>
      <c r="C32" s="184" t="s">
        <v>796</v>
      </c>
      <c r="D32" s="44"/>
      <c r="E32" s="40"/>
      <c r="F32" s="30"/>
      <c r="G32" s="30"/>
      <c r="H32" s="30"/>
      <c r="I32" s="30"/>
      <c r="J32" s="30"/>
      <c r="K32" s="30"/>
    </row>
    <row r="33" spans="1:11" ht="18.75" x14ac:dyDescent="0.3">
      <c r="A33" s="4" t="s">
        <v>394</v>
      </c>
      <c r="B33" s="4" t="s">
        <v>13</v>
      </c>
      <c r="C33" s="184" t="s">
        <v>776</v>
      </c>
      <c r="D33" s="33"/>
      <c r="E33" s="120"/>
      <c r="F33" s="118"/>
      <c r="G33" s="30"/>
      <c r="H33" s="30"/>
      <c r="I33" s="30"/>
      <c r="J33" s="30"/>
      <c r="K33" s="30"/>
    </row>
    <row r="34" spans="1:11" ht="18.75" x14ac:dyDescent="0.3">
      <c r="A34" s="4" t="s">
        <v>43</v>
      </c>
      <c r="B34" s="4" t="s">
        <v>20</v>
      </c>
      <c r="C34" s="184" t="s">
        <v>800</v>
      </c>
      <c r="D34" s="30"/>
      <c r="E34" s="40"/>
      <c r="F34" s="30"/>
      <c r="G34" s="30"/>
      <c r="H34" s="30"/>
      <c r="I34" s="30"/>
      <c r="J34" s="30"/>
      <c r="K34" s="30"/>
    </row>
    <row r="35" spans="1:11" ht="18.75" x14ac:dyDescent="0.3">
      <c r="A35" s="4" t="s">
        <v>43</v>
      </c>
      <c r="B35" s="4" t="s">
        <v>13</v>
      </c>
      <c r="C35" s="184" t="s">
        <v>44</v>
      </c>
      <c r="D35" s="33"/>
      <c r="E35" s="120"/>
      <c r="F35" s="118"/>
      <c r="G35" s="30"/>
      <c r="H35" s="30"/>
      <c r="I35" s="33"/>
      <c r="J35" s="33"/>
      <c r="K35" s="33"/>
    </row>
    <row r="36" spans="1:11" ht="18.75" x14ac:dyDescent="0.3">
      <c r="A36" s="94" t="s">
        <v>394</v>
      </c>
      <c r="B36" s="94" t="s">
        <v>274</v>
      </c>
      <c r="C36" s="184" t="s">
        <v>275</v>
      </c>
      <c r="D36" s="30"/>
      <c r="E36" s="40"/>
      <c r="F36" s="30"/>
      <c r="G36" s="30"/>
      <c r="H36" s="30"/>
      <c r="I36" s="30"/>
      <c r="J36" s="30"/>
      <c r="K36" s="30"/>
    </row>
    <row r="37" spans="1:11" ht="18.75" x14ac:dyDescent="0.3">
      <c r="A37" s="4" t="s">
        <v>394</v>
      </c>
      <c r="B37" s="4" t="s">
        <v>20</v>
      </c>
      <c r="C37" s="184" t="s">
        <v>283</v>
      </c>
      <c r="D37" s="33"/>
      <c r="E37" s="5"/>
      <c r="F37" s="6"/>
      <c r="G37" s="9"/>
      <c r="H37" s="3"/>
      <c r="I37" s="33"/>
      <c r="J37" s="33"/>
      <c r="K37" s="33"/>
    </row>
    <row r="38" spans="1:11" ht="18.75" x14ac:dyDescent="0.3">
      <c r="A38" s="4" t="s">
        <v>399</v>
      </c>
      <c r="B38" s="4" t="s">
        <v>13</v>
      </c>
      <c r="C38" s="184" t="s">
        <v>304</v>
      </c>
      <c r="D38" s="33"/>
      <c r="E38" s="120"/>
      <c r="F38" s="118"/>
      <c r="G38" s="30"/>
      <c r="H38" s="30"/>
      <c r="I38" s="30"/>
      <c r="J38" s="30"/>
      <c r="K38" s="30"/>
    </row>
    <row r="39" spans="1:11" ht="18.75" x14ac:dyDescent="0.3">
      <c r="A39" s="4" t="s">
        <v>25</v>
      </c>
      <c r="B39" s="93" t="s">
        <v>13</v>
      </c>
      <c r="C39" s="184" t="s">
        <v>379</v>
      </c>
      <c r="D39" s="33"/>
      <c r="E39" s="5"/>
      <c r="F39" s="6"/>
      <c r="G39" s="9"/>
      <c r="H39" s="3"/>
      <c r="I39" s="33"/>
      <c r="J39" s="33"/>
      <c r="K39" s="33"/>
    </row>
    <row r="40" spans="1:11" ht="18.75" x14ac:dyDescent="0.3">
      <c r="A40" s="4" t="s">
        <v>43</v>
      </c>
      <c r="B40" s="4" t="s">
        <v>20</v>
      </c>
      <c r="C40" s="184" t="s">
        <v>805</v>
      </c>
      <c r="D40" s="33"/>
      <c r="E40" s="5"/>
      <c r="F40" s="6"/>
      <c r="G40" s="9"/>
      <c r="H40" s="3"/>
      <c r="I40" s="33"/>
      <c r="J40" s="33"/>
      <c r="K40" s="33"/>
    </row>
    <row r="41" spans="1:11" ht="18.75" x14ac:dyDescent="0.3">
      <c r="A41" s="4" t="s">
        <v>12</v>
      </c>
      <c r="B41" s="4" t="s">
        <v>13</v>
      </c>
      <c r="C41" s="184" t="s">
        <v>260</v>
      </c>
      <c r="D41" s="33"/>
      <c r="E41" s="5"/>
      <c r="F41" s="6"/>
      <c r="G41" s="9"/>
      <c r="H41" s="9"/>
      <c r="I41" s="33"/>
      <c r="J41" s="33"/>
      <c r="K41" s="33"/>
    </row>
    <row r="42" spans="1:11" ht="18.75" x14ac:dyDescent="0.3">
      <c r="A42" s="4" t="s">
        <v>394</v>
      </c>
      <c r="B42" s="4" t="s">
        <v>13</v>
      </c>
      <c r="C42" s="184" t="s">
        <v>264</v>
      </c>
      <c r="D42" s="30"/>
      <c r="E42" s="40"/>
      <c r="F42" s="30"/>
      <c r="G42" s="30"/>
      <c r="H42" s="30"/>
      <c r="I42" s="30"/>
      <c r="J42" s="30"/>
      <c r="K42" s="30"/>
    </row>
    <row r="43" spans="1:11" ht="18.75" x14ac:dyDescent="0.3">
      <c r="A43" s="4" t="s">
        <v>52</v>
      </c>
      <c r="B43" s="4" t="s">
        <v>13</v>
      </c>
      <c r="C43" s="184" t="s">
        <v>376</v>
      </c>
      <c r="D43" s="33"/>
      <c r="E43" s="5"/>
      <c r="F43" s="6"/>
      <c r="G43" s="9"/>
      <c r="H43" s="3"/>
      <c r="I43" s="33"/>
      <c r="J43" s="33"/>
      <c r="K43" s="33"/>
    </row>
    <row r="44" spans="1:11" ht="18.75" x14ac:dyDescent="0.3">
      <c r="A44" s="4" t="s">
        <v>25</v>
      </c>
      <c r="B44" s="4" t="s">
        <v>20</v>
      </c>
      <c r="C44" s="184" t="s">
        <v>309</v>
      </c>
      <c r="D44" s="30"/>
      <c r="E44" s="40"/>
      <c r="F44" s="30"/>
      <c r="G44" s="30"/>
      <c r="H44" s="30"/>
      <c r="I44" s="30"/>
      <c r="J44" s="30"/>
      <c r="K44" s="30"/>
    </row>
    <row r="45" spans="1:11" ht="18.75" x14ac:dyDescent="0.3">
      <c r="A45" s="4" t="s">
        <v>25</v>
      </c>
      <c r="B45" s="4" t="s">
        <v>13</v>
      </c>
      <c r="C45" s="184" t="s">
        <v>380</v>
      </c>
      <c r="D45" s="33"/>
      <c r="E45" s="5"/>
      <c r="F45" s="6"/>
      <c r="G45" s="9"/>
      <c r="H45" s="3"/>
      <c r="I45" s="33"/>
      <c r="J45" s="33"/>
      <c r="K45" s="33"/>
    </row>
    <row r="46" spans="1:11" ht="18.75" x14ac:dyDescent="0.3">
      <c r="A46" s="4" t="s">
        <v>43</v>
      </c>
      <c r="B46" s="4" t="s">
        <v>13</v>
      </c>
      <c r="C46" s="184" t="s">
        <v>807</v>
      </c>
      <c r="D46" s="30"/>
      <c r="E46" s="40"/>
      <c r="F46" s="30"/>
      <c r="G46" s="30"/>
      <c r="H46" s="30"/>
      <c r="I46" s="30"/>
      <c r="J46" s="30"/>
      <c r="K46" s="30"/>
    </row>
    <row r="47" spans="1:11" ht="18.75" x14ac:dyDescent="0.3">
      <c r="A47" s="4" t="s">
        <v>399</v>
      </c>
      <c r="B47" s="4" t="s">
        <v>20</v>
      </c>
      <c r="C47" s="184" t="s">
        <v>277</v>
      </c>
      <c r="D47" s="33"/>
      <c r="E47" s="5"/>
      <c r="F47" s="6"/>
      <c r="G47" s="9"/>
      <c r="H47" s="3"/>
      <c r="I47" s="33"/>
      <c r="J47" s="33"/>
      <c r="K47" s="33"/>
    </row>
    <row r="48" spans="1:11" ht="18.75" x14ac:dyDescent="0.3">
      <c r="A48" s="4" t="s">
        <v>25</v>
      </c>
      <c r="B48" s="4" t="s">
        <v>20</v>
      </c>
      <c r="C48" s="184" t="s">
        <v>806</v>
      </c>
      <c r="D48" s="33"/>
      <c r="E48" s="5"/>
      <c r="F48" s="6"/>
      <c r="G48" s="9"/>
      <c r="H48" s="3"/>
      <c r="I48" s="33"/>
      <c r="J48" s="33"/>
      <c r="K48" s="33"/>
    </row>
    <row r="49" spans="1:11" ht="18.75" x14ac:dyDescent="0.3">
      <c r="A49" s="4" t="s">
        <v>43</v>
      </c>
      <c r="B49" s="4" t="s">
        <v>13</v>
      </c>
      <c r="C49" s="184" t="s">
        <v>808</v>
      </c>
      <c r="D49" s="30"/>
      <c r="E49" s="97"/>
      <c r="F49" s="98"/>
      <c r="G49" s="30"/>
      <c r="H49" s="30"/>
      <c r="I49" s="30"/>
      <c r="J49" s="30"/>
      <c r="K49" s="30"/>
    </row>
    <row r="50" spans="1:11" ht="18.75" x14ac:dyDescent="0.3">
      <c r="A50" s="4" t="s">
        <v>399</v>
      </c>
      <c r="B50" s="4" t="s">
        <v>20</v>
      </c>
      <c r="C50" s="184" t="s">
        <v>21</v>
      </c>
      <c r="D50" s="30"/>
      <c r="E50" s="120"/>
      <c r="F50" s="118"/>
      <c r="G50" s="96"/>
      <c r="H50" s="30"/>
      <c r="I50" s="30"/>
      <c r="J50" s="30"/>
      <c r="K50" s="30"/>
    </row>
    <row r="51" spans="1:11" ht="18.75" x14ac:dyDescent="0.3">
      <c r="A51" s="4" t="s">
        <v>43</v>
      </c>
      <c r="B51" s="4" t="s">
        <v>20</v>
      </c>
      <c r="C51" s="184" t="s">
        <v>810</v>
      </c>
      <c r="D51" s="30"/>
      <c r="E51" s="40"/>
      <c r="F51" s="30"/>
      <c r="G51" s="30"/>
      <c r="H51" s="30"/>
      <c r="I51" s="30"/>
      <c r="J51" s="30"/>
      <c r="K51" s="30"/>
    </row>
    <row r="52" spans="1:11" ht="18.75" x14ac:dyDescent="0.3">
      <c r="A52" s="4" t="s">
        <v>399</v>
      </c>
      <c r="B52" s="4" t="s">
        <v>20</v>
      </c>
      <c r="C52" s="184" t="s">
        <v>366</v>
      </c>
      <c r="D52" s="30"/>
      <c r="E52" s="40"/>
      <c r="F52" s="30"/>
      <c r="G52" s="30"/>
      <c r="H52" s="30"/>
      <c r="I52" s="30"/>
      <c r="J52" s="30"/>
      <c r="K52" s="30"/>
    </row>
    <row r="53" spans="1:11" ht="18.75" x14ac:dyDescent="0.3">
      <c r="A53" s="4" t="s">
        <v>43</v>
      </c>
      <c r="B53" s="4" t="s">
        <v>13</v>
      </c>
      <c r="C53" s="184" t="s">
        <v>368</v>
      </c>
      <c r="D53" s="30"/>
      <c r="E53" s="40"/>
      <c r="F53" s="30"/>
      <c r="G53" s="30"/>
      <c r="H53" s="30"/>
      <c r="I53" s="30"/>
      <c r="J53" s="30"/>
      <c r="K53" s="30"/>
    </row>
    <row r="54" spans="1:11" ht="18.75" x14ac:dyDescent="0.3">
      <c r="A54" s="4" t="s">
        <v>394</v>
      </c>
      <c r="B54" s="4" t="s">
        <v>20</v>
      </c>
      <c r="C54" s="184" t="s">
        <v>153</v>
      </c>
      <c r="D54" s="30"/>
      <c r="E54" s="40"/>
      <c r="F54" s="30"/>
      <c r="G54" s="30"/>
      <c r="H54" s="30"/>
      <c r="I54" s="30"/>
      <c r="J54" s="30"/>
      <c r="K54" s="30"/>
    </row>
    <row r="55" spans="1:11" ht="18.75" x14ac:dyDescent="0.3">
      <c r="A55" s="4" t="s">
        <v>43</v>
      </c>
      <c r="B55" s="4" t="s">
        <v>13</v>
      </c>
      <c r="C55" s="184" t="s">
        <v>311</v>
      </c>
      <c r="D55" s="30"/>
      <c r="E55" s="40"/>
      <c r="F55" s="30"/>
      <c r="G55" s="30"/>
      <c r="H55" s="30"/>
      <c r="I55" s="30"/>
      <c r="J55" s="30"/>
      <c r="K55" s="30"/>
    </row>
    <row r="56" spans="1:11" ht="18.75" x14ac:dyDescent="0.3">
      <c r="A56" s="4" t="s">
        <v>43</v>
      </c>
      <c r="B56" s="4" t="s">
        <v>20</v>
      </c>
      <c r="C56" s="184" t="s">
        <v>811</v>
      </c>
      <c r="D56" s="30"/>
      <c r="E56" s="40"/>
      <c r="F56" s="30"/>
      <c r="G56" s="30"/>
      <c r="H56" s="30"/>
      <c r="I56" s="30"/>
      <c r="J56" s="30"/>
      <c r="K56" s="30"/>
    </row>
    <row r="57" spans="1:11" ht="18.75" x14ac:dyDescent="0.3">
      <c r="A57" s="4" t="s">
        <v>394</v>
      </c>
      <c r="B57" s="4" t="s">
        <v>13</v>
      </c>
      <c r="C57" s="184" t="s">
        <v>381</v>
      </c>
      <c r="D57" s="30"/>
      <c r="E57" s="40"/>
      <c r="F57" s="30"/>
      <c r="G57" s="30"/>
      <c r="H57" s="30"/>
      <c r="I57" s="30"/>
      <c r="J57" s="30"/>
      <c r="K57" s="30"/>
    </row>
    <row r="58" spans="1:11" ht="18.75" x14ac:dyDescent="0.3">
      <c r="A58" s="4" t="s">
        <v>43</v>
      </c>
      <c r="B58" s="4" t="s">
        <v>20</v>
      </c>
      <c r="C58" s="184" t="s">
        <v>812</v>
      </c>
      <c r="D58" s="30"/>
      <c r="E58" s="40"/>
      <c r="F58" s="30"/>
      <c r="G58" s="30"/>
      <c r="H58" s="30"/>
      <c r="I58" s="30"/>
      <c r="J58" s="30"/>
      <c r="K58" s="30"/>
    </row>
    <row r="59" spans="1:11" ht="18.75" x14ac:dyDescent="0.3">
      <c r="A59" s="4" t="s">
        <v>12</v>
      </c>
      <c r="B59" s="4" t="s">
        <v>13</v>
      </c>
      <c r="C59" s="184" t="s">
        <v>813</v>
      </c>
      <c r="D59" s="30"/>
      <c r="E59" s="40"/>
      <c r="F59" s="30"/>
      <c r="G59" s="30"/>
      <c r="H59" s="30"/>
      <c r="I59" s="30"/>
      <c r="J59" s="30"/>
      <c r="K59" s="30"/>
    </row>
    <row r="60" spans="1:11" ht="18.75" x14ac:dyDescent="0.3">
      <c r="A60" s="94" t="s">
        <v>12</v>
      </c>
      <c r="B60" s="4" t="s">
        <v>13</v>
      </c>
      <c r="C60" s="184" t="s">
        <v>195</v>
      </c>
      <c r="D60" s="30"/>
      <c r="E60" s="40"/>
      <c r="F60" s="30"/>
      <c r="G60" s="96"/>
      <c r="H60" s="30"/>
      <c r="I60" s="30"/>
      <c r="J60" s="30"/>
      <c r="K60" s="30"/>
    </row>
    <row r="61" spans="1:11" ht="18.75" x14ac:dyDescent="0.3">
      <c r="A61" s="4" t="s">
        <v>394</v>
      </c>
      <c r="B61" s="4" t="s">
        <v>13</v>
      </c>
      <c r="C61" s="184" t="s">
        <v>814</v>
      </c>
      <c r="D61" s="30"/>
      <c r="E61" s="40"/>
      <c r="F61" s="30"/>
      <c r="G61" s="30"/>
      <c r="H61" s="30"/>
      <c r="I61" s="30"/>
      <c r="J61" s="30"/>
      <c r="K61" s="30"/>
    </row>
    <row r="62" spans="1:11" ht="18.75" x14ac:dyDescent="0.3">
      <c r="A62" s="4" t="s">
        <v>394</v>
      </c>
      <c r="B62" s="4" t="s">
        <v>13</v>
      </c>
      <c r="C62" s="184" t="s">
        <v>218</v>
      </c>
      <c r="D62" s="30"/>
      <c r="E62" s="40"/>
      <c r="F62" s="30"/>
      <c r="G62" s="30"/>
      <c r="H62" s="30"/>
      <c r="I62" s="30"/>
      <c r="J62" s="30"/>
      <c r="K62" s="30"/>
    </row>
    <row r="63" spans="1:11" ht="18.75" x14ac:dyDescent="0.3">
      <c r="A63" s="4" t="s">
        <v>43</v>
      </c>
      <c r="B63" s="4" t="s">
        <v>20</v>
      </c>
      <c r="C63" s="184" t="s">
        <v>165</v>
      </c>
      <c r="D63" s="30"/>
      <c r="E63" s="40"/>
      <c r="F63" s="30"/>
      <c r="G63" s="30"/>
      <c r="H63" s="30"/>
      <c r="I63" s="30"/>
      <c r="J63" s="30"/>
      <c r="K63" s="30"/>
    </row>
    <row r="64" spans="1:11" ht="18.75" x14ac:dyDescent="0.3">
      <c r="A64" s="4" t="s">
        <v>25</v>
      </c>
      <c r="B64" s="4" t="s">
        <v>20</v>
      </c>
      <c r="C64" s="184" t="s">
        <v>817</v>
      </c>
      <c r="D64" s="30"/>
      <c r="E64" s="40"/>
      <c r="F64" s="30"/>
      <c r="G64" s="30"/>
      <c r="H64" s="30"/>
      <c r="I64" s="30"/>
      <c r="J64" s="30"/>
      <c r="K64" s="30"/>
    </row>
    <row r="65" spans="1:11" ht="18.75" x14ac:dyDescent="0.3">
      <c r="A65" s="4" t="s">
        <v>394</v>
      </c>
      <c r="B65" s="4" t="s">
        <v>13</v>
      </c>
      <c r="C65" s="184" t="s">
        <v>818</v>
      </c>
      <c r="D65" s="30"/>
      <c r="E65" s="40"/>
      <c r="F65" s="30"/>
      <c r="G65" s="30"/>
      <c r="H65" s="30"/>
      <c r="I65" s="30"/>
      <c r="J65" s="30"/>
      <c r="K65" s="30"/>
    </row>
    <row r="66" spans="1:11" ht="18.75" x14ac:dyDescent="0.3">
      <c r="A66" s="4" t="s">
        <v>394</v>
      </c>
      <c r="B66" s="4" t="s">
        <v>20</v>
      </c>
      <c r="C66" s="184" t="s">
        <v>215</v>
      </c>
      <c r="D66" s="30"/>
      <c r="E66" s="40"/>
      <c r="F66" s="30"/>
      <c r="G66" s="30"/>
      <c r="H66" s="30"/>
      <c r="I66" s="30"/>
      <c r="J66" s="30"/>
      <c r="K66" s="30"/>
    </row>
    <row r="67" spans="1:11" ht="18.75" x14ac:dyDescent="0.3">
      <c r="A67" s="4" t="s">
        <v>43</v>
      </c>
      <c r="B67" s="4" t="s">
        <v>20</v>
      </c>
      <c r="C67" s="184" t="s">
        <v>819</v>
      </c>
      <c r="D67" s="30"/>
      <c r="E67" s="40"/>
      <c r="F67" s="30"/>
      <c r="G67" s="30"/>
      <c r="H67" s="30"/>
      <c r="I67" s="30"/>
      <c r="J67" s="30"/>
      <c r="K67" s="30"/>
    </row>
    <row r="68" spans="1:11" ht="18.75" x14ac:dyDescent="0.3">
      <c r="A68" s="4" t="s">
        <v>394</v>
      </c>
      <c r="B68" s="4" t="s">
        <v>20</v>
      </c>
      <c r="C68" s="184" t="s">
        <v>67</v>
      </c>
      <c r="D68" s="30"/>
      <c r="E68" s="40"/>
      <c r="F68" s="30"/>
      <c r="G68" s="30"/>
      <c r="H68" s="30"/>
      <c r="I68" s="30"/>
      <c r="J68" s="30"/>
      <c r="K68" s="30"/>
    </row>
    <row r="69" spans="1:11" ht="18.75" x14ac:dyDescent="0.3">
      <c r="A69" s="4" t="s">
        <v>43</v>
      </c>
      <c r="B69" s="4" t="s">
        <v>13</v>
      </c>
      <c r="C69" s="184" t="s">
        <v>193</v>
      </c>
      <c r="D69" s="30"/>
      <c r="E69" s="40"/>
      <c r="F69" s="30"/>
      <c r="G69" s="30"/>
      <c r="H69" s="30"/>
      <c r="I69" s="30"/>
      <c r="J69" s="30"/>
      <c r="K69" s="30"/>
    </row>
    <row r="70" spans="1:11" ht="18.75" x14ac:dyDescent="0.3">
      <c r="A70" s="4" t="s">
        <v>12</v>
      </c>
      <c r="B70" s="4" t="s">
        <v>20</v>
      </c>
      <c r="C70" s="184" t="s">
        <v>824</v>
      </c>
      <c r="D70" s="30"/>
      <c r="E70" s="40"/>
      <c r="F70" s="30"/>
      <c r="G70" s="30"/>
      <c r="H70" s="30"/>
      <c r="I70" s="30"/>
      <c r="J70" s="30"/>
      <c r="K70" s="30"/>
    </row>
    <row r="71" spans="1:11" ht="18.75" x14ac:dyDescent="0.3">
      <c r="A71" s="4" t="s">
        <v>394</v>
      </c>
      <c r="B71" s="4" t="s">
        <v>13</v>
      </c>
      <c r="C71" s="184" t="s">
        <v>820</v>
      </c>
      <c r="D71" s="30"/>
      <c r="E71" s="40"/>
      <c r="F71" s="30"/>
      <c r="G71" s="30"/>
      <c r="H71" s="30"/>
      <c r="I71" s="30"/>
      <c r="J71" s="30"/>
      <c r="K71" s="30"/>
    </row>
    <row r="72" spans="1:11" ht="18.75" x14ac:dyDescent="0.3">
      <c r="A72" s="4" t="s">
        <v>394</v>
      </c>
      <c r="B72" s="4" t="s">
        <v>20</v>
      </c>
      <c r="C72" s="184" t="s">
        <v>261</v>
      </c>
      <c r="D72" s="30"/>
      <c r="E72" s="40"/>
      <c r="F72" s="30"/>
      <c r="G72" s="30"/>
      <c r="H72" s="30"/>
      <c r="I72" s="30"/>
      <c r="J72" s="30"/>
      <c r="K72" s="30"/>
    </row>
    <row r="73" spans="1:11" ht="18.75" x14ac:dyDescent="0.3">
      <c r="A73" s="4" t="s">
        <v>399</v>
      </c>
      <c r="B73" s="4" t="s">
        <v>20</v>
      </c>
      <c r="C73" s="184" t="s">
        <v>211</v>
      </c>
      <c r="D73" s="30"/>
      <c r="E73" s="97"/>
      <c r="F73" s="98"/>
      <c r="G73" s="30"/>
      <c r="H73" s="30"/>
      <c r="I73" s="30"/>
      <c r="J73" s="30"/>
      <c r="K73" s="30"/>
    </row>
    <row r="74" spans="1:11" ht="18.75" x14ac:dyDescent="0.3">
      <c r="A74" s="4" t="s">
        <v>52</v>
      </c>
      <c r="B74" s="4" t="s">
        <v>20</v>
      </c>
      <c r="C74" s="184" t="s">
        <v>821</v>
      </c>
      <c r="D74" s="30"/>
      <c r="E74" s="40"/>
      <c r="F74" s="30"/>
      <c r="G74" s="30"/>
      <c r="H74" s="30"/>
      <c r="I74" s="30"/>
      <c r="J74" s="30"/>
      <c r="K74" s="30"/>
    </row>
    <row r="75" spans="1:11" ht="18.75" x14ac:dyDescent="0.3">
      <c r="A75" s="4" t="s">
        <v>12</v>
      </c>
      <c r="B75" s="4" t="s">
        <v>20</v>
      </c>
      <c r="C75" s="184" t="s">
        <v>822</v>
      </c>
      <c r="D75" s="30"/>
      <c r="E75" s="40"/>
      <c r="F75" s="30"/>
      <c r="G75" s="30"/>
      <c r="H75" s="30"/>
      <c r="I75" s="30"/>
      <c r="J75" s="30"/>
      <c r="K75" s="30"/>
    </row>
    <row r="76" spans="1:11" ht="18.75" x14ac:dyDescent="0.3">
      <c r="A76" s="95" t="s">
        <v>394</v>
      </c>
      <c r="B76" s="95" t="s">
        <v>13</v>
      </c>
      <c r="C76" s="184" t="s">
        <v>823</v>
      </c>
      <c r="D76" s="30"/>
      <c r="E76" s="40"/>
      <c r="F76" s="30"/>
      <c r="G76" s="30"/>
      <c r="H76" s="30"/>
      <c r="I76" s="30"/>
      <c r="J76" s="30"/>
      <c r="K76" s="30"/>
    </row>
    <row r="77" spans="1:11" ht="18.75" x14ac:dyDescent="0.3">
      <c r="A77" s="4" t="s">
        <v>12</v>
      </c>
      <c r="B77" s="4" t="s">
        <v>13</v>
      </c>
      <c r="C77" s="184" t="s">
        <v>382</v>
      </c>
      <c r="D77" s="30"/>
      <c r="E77" s="40"/>
      <c r="F77" s="30"/>
      <c r="G77" s="30"/>
      <c r="H77" s="30"/>
      <c r="I77" s="30"/>
      <c r="J77" s="30"/>
      <c r="K77" s="30"/>
    </row>
    <row r="78" spans="1:11" ht="18.75" x14ac:dyDescent="0.3">
      <c r="A78" s="4" t="s">
        <v>399</v>
      </c>
      <c r="B78" s="4" t="s">
        <v>13</v>
      </c>
      <c r="C78" s="184" t="s">
        <v>34</v>
      </c>
      <c r="D78" s="30"/>
      <c r="E78" s="40"/>
      <c r="F78" s="30"/>
      <c r="G78" s="30"/>
      <c r="H78" s="30"/>
      <c r="I78" s="30"/>
      <c r="J78" s="30"/>
      <c r="K78" s="30"/>
    </row>
    <row r="79" spans="1:11" ht="18.75" x14ac:dyDescent="0.3">
      <c r="A79" s="4" t="s">
        <v>25</v>
      </c>
      <c r="B79" s="4" t="s">
        <v>13</v>
      </c>
      <c r="C79" s="184" t="s">
        <v>826</v>
      </c>
      <c r="D79" s="30"/>
      <c r="E79" s="40"/>
      <c r="F79" s="30"/>
      <c r="G79" s="30"/>
      <c r="H79" s="30"/>
      <c r="I79" s="30"/>
      <c r="J79" s="30"/>
      <c r="K79" s="30"/>
    </row>
    <row r="80" spans="1:11" ht="18.75" x14ac:dyDescent="0.3">
      <c r="A80" s="4" t="s">
        <v>52</v>
      </c>
      <c r="B80" s="4" t="s">
        <v>20</v>
      </c>
      <c r="C80" s="184" t="s">
        <v>828</v>
      </c>
      <c r="D80" s="30"/>
      <c r="E80" s="40"/>
      <c r="F80" s="30"/>
      <c r="G80" s="96"/>
      <c r="H80" s="30"/>
      <c r="I80" s="30"/>
      <c r="J80" s="30"/>
      <c r="K80" s="30"/>
    </row>
    <row r="81" spans="1:11" ht="18.75" x14ac:dyDescent="0.3">
      <c r="A81" s="69" t="s">
        <v>12</v>
      </c>
      <c r="B81" s="69" t="s">
        <v>13</v>
      </c>
      <c r="C81" s="184" t="s">
        <v>14</v>
      </c>
      <c r="D81" s="30"/>
      <c r="E81" s="40"/>
      <c r="F81" s="30"/>
      <c r="G81" s="96"/>
      <c r="H81" s="30"/>
      <c r="I81" s="30"/>
      <c r="J81" s="30"/>
      <c r="K81" s="30"/>
    </row>
    <row r="82" spans="1:11" ht="18.75" x14ac:dyDescent="0.3">
      <c r="A82" s="4" t="s">
        <v>399</v>
      </c>
      <c r="B82" s="4" t="s">
        <v>20</v>
      </c>
      <c r="C82" s="184" t="s">
        <v>829</v>
      </c>
      <c r="D82" s="33"/>
      <c r="E82" s="5"/>
      <c r="F82" s="6"/>
      <c r="G82" s="9"/>
      <c r="H82" s="3"/>
      <c r="I82" s="33"/>
      <c r="J82" s="33"/>
      <c r="K82" s="33"/>
    </row>
    <row r="83" spans="1:11" ht="18.75" x14ac:dyDescent="0.3">
      <c r="A83" s="71" t="s">
        <v>12</v>
      </c>
      <c r="B83" s="69" t="s">
        <v>13</v>
      </c>
      <c r="C83" s="184" t="s">
        <v>276</v>
      </c>
      <c r="D83" s="30"/>
      <c r="E83" s="40"/>
      <c r="F83" s="30"/>
      <c r="G83" s="30"/>
      <c r="H83" s="30"/>
      <c r="I83" s="30"/>
      <c r="J83" s="30"/>
      <c r="K83" s="30"/>
    </row>
    <row r="84" spans="1:11" ht="18.75" x14ac:dyDescent="0.3">
      <c r="A84" s="4" t="s">
        <v>43</v>
      </c>
      <c r="B84" s="4" t="s">
        <v>13</v>
      </c>
      <c r="C84" s="184" t="s">
        <v>830</v>
      </c>
      <c r="D84" s="30"/>
      <c r="E84" s="97"/>
      <c r="F84" s="98"/>
      <c r="G84" s="30"/>
      <c r="H84" s="30"/>
      <c r="I84" s="30"/>
      <c r="J84" s="30"/>
      <c r="K84" s="30"/>
    </row>
    <row r="85" spans="1:11" ht="18.75" x14ac:dyDescent="0.3">
      <c r="A85" s="4" t="s">
        <v>43</v>
      </c>
      <c r="B85" s="4" t="s">
        <v>13</v>
      </c>
      <c r="C85" s="184" t="s">
        <v>333</v>
      </c>
      <c r="D85" s="30"/>
      <c r="E85" s="40"/>
      <c r="F85" s="30"/>
      <c r="G85" s="30"/>
      <c r="H85" s="30"/>
      <c r="I85" s="30"/>
      <c r="J85" s="30"/>
      <c r="K85" s="30"/>
    </row>
    <row r="86" spans="1:11" ht="14.25" customHeight="1" x14ac:dyDescent="0.3">
      <c r="A86" s="4" t="s">
        <v>394</v>
      </c>
      <c r="B86" s="4" t="s">
        <v>13</v>
      </c>
      <c r="C86" s="184" t="s">
        <v>322</v>
      </c>
      <c r="D86" s="30"/>
      <c r="E86" s="40"/>
      <c r="F86" s="30"/>
      <c r="G86" s="30"/>
      <c r="H86" s="30"/>
      <c r="I86" s="30"/>
      <c r="J86" s="30"/>
      <c r="K86" s="30"/>
    </row>
    <row r="87" spans="1:11" ht="18.75" x14ac:dyDescent="0.3">
      <c r="A87" s="4" t="s">
        <v>43</v>
      </c>
      <c r="B87" s="4" t="s">
        <v>20</v>
      </c>
      <c r="C87" s="184" t="s">
        <v>220</v>
      </c>
      <c r="D87" s="30"/>
      <c r="E87" s="40"/>
      <c r="F87" s="30"/>
      <c r="G87" s="30"/>
      <c r="H87" s="30"/>
      <c r="I87" s="30"/>
      <c r="J87" s="30"/>
      <c r="K87" s="30"/>
    </row>
    <row r="88" spans="1:11" ht="18.75" x14ac:dyDescent="0.3">
      <c r="A88" s="4" t="s">
        <v>43</v>
      </c>
      <c r="B88" s="4" t="s">
        <v>20</v>
      </c>
      <c r="C88" s="184" t="s">
        <v>258</v>
      </c>
      <c r="D88" s="30"/>
      <c r="E88" s="40"/>
      <c r="F88" s="30"/>
      <c r="G88" s="30"/>
      <c r="H88" s="30"/>
      <c r="I88" s="30"/>
      <c r="J88" s="30"/>
      <c r="K88" s="30"/>
    </row>
    <row r="89" spans="1:11" ht="18.75" x14ac:dyDescent="0.3">
      <c r="A89" s="4" t="s">
        <v>25</v>
      </c>
      <c r="B89" s="4" t="s">
        <v>13</v>
      </c>
      <c r="C89" s="184" t="s">
        <v>383</v>
      </c>
      <c r="D89" s="30"/>
      <c r="E89" s="40"/>
      <c r="F89" s="30"/>
      <c r="G89" s="30"/>
      <c r="H89" s="30"/>
      <c r="I89" s="30"/>
      <c r="J89" s="30"/>
      <c r="K89" s="30"/>
    </row>
    <row r="90" spans="1:11" ht="18.75" x14ac:dyDescent="0.3">
      <c r="A90" s="4" t="s">
        <v>25</v>
      </c>
      <c r="B90" s="4" t="s">
        <v>13</v>
      </c>
      <c r="C90" s="184" t="s">
        <v>326</v>
      </c>
      <c r="D90" s="30"/>
      <c r="E90" s="40"/>
      <c r="F90" s="30"/>
      <c r="G90" s="30"/>
      <c r="H90" s="30"/>
      <c r="I90" s="30"/>
      <c r="J90" s="30"/>
      <c r="K90" s="30"/>
    </row>
    <row r="91" spans="1:11" ht="18.75" x14ac:dyDescent="0.3">
      <c r="A91" s="4" t="s">
        <v>399</v>
      </c>
      <c r="B91" s="4" t="s">
        <v>13</v>
      </c>
      <c r="C91" s="184" t="s">
        <v>94</v>
      </c>
      <c r="D91" s="30"/>
      <c r="E91" s="40"/>
      <c r="F91" s="30"/>
      <c r="G91" s="30"/>
      <c r="H91" s="30"/>
      <c r="I91" s="30"/>
      <c r="J91" s="30"/>
      <c r="K91" s="30"/>
    </row>
    <row r="92" spans="1:11" ht="18.75" x14ac:dyDescent="0.3">
      <c r="A92" s="4" t="s">
        <v>12</v>
      </c>
      <c r="B92" s="4" t="s">
        <v>20</v>
      </c>
      <c r="C92" s="184" t="s">
        <v>30</v>
      </c>
      <c r="D92" s="44"/>
      <c r="E92" s="40"/>
      <c r="F92" s="30"/>
      <c r="G92" s="96"/>
      <c r="H92" s="30"/>
      <c r="I92" s="30"/>
      <c r="J92" s="30"/>
      <c r="K92" s="30"/>
    </row>
    <row r="93" spans="1:11" ht="18.75" x14ac:dyDescent="0.3">
      <c r="A93" s="4" t="s">
        <v>25</v>
      </c>
      <c r="B93" s="4" t="s">
        <v>13</v>
      </c>
      <c r="C93" s="184" t="s">
        <v>832</v>
      </c>
      <c r="D93" s="30"/>
      <c r="E93" s="40"/>
      <c r="F93" s="30"/>
      <c r="G93" s="30"/>
      <c r="H93" s="30"/>
      <c r="I93" s="30"/>
      <c r="J93" s="30"/>
      <c r="K93" s="30"/>
    </row>
    <row r="94" spans="1:11" ht="18.75" x14ac:dyDescent="0.3">
      <c r="A94" s="4" t="s">
        <v>394</v>
      </c>
      <c r="B94" s="4" t="s">
        <v>20</v>
      </c>
      <c r="C94" s="184" t="s">
        <v>833</v>
      </c>
      <c r="D94" s="30"/>
      <c r="E94" s="40"/>
      <c r="F94" s="30"/>
      <c r="G94" s="30"/>
      <c r="H94" s="30"/>
      <c r="I94" s="30"/>
      <c r="J94" s="30"/>
      <c r="K94" s="30"/>
    </row>
    <row r="95" spans="1:11" ht="18.75" x14ac:dyDescent="0.3">
      <c r="A95" s="4" t="s">
        <v>43</v>
      </c>
      <c r="B95" s="4" t="s">
        <v>20</v>
      </c>
      <c r="C95" s="184" t="s">
        <v>834</v>
      </c>
      <c r="D95" s="30"/>
      <c r="E95" s="40"/>
      <c r="F95" s="30"/>
      <c r="G95" s="30"/>
      <c r="H95" s="30"/>
      <c r="I95" s="30"/>
      <c r="J95" s="30"/>
      <c r="K95" s="30"/>
    </row>
    <row r="96" spans="1:11" ht="18.75" x14ac:dyDescent="0.3">
      <c r="A96" s="37" t="s">
        <v>12</v>
      </c>
      <c r="B96" s="37" t="s">
        <v>20</v>
      </c>
      <c r="C96" s="184" t="s">
        <v>836</v>
      </c>
      <c r="D96" s="30"/>
      <c r="E96" s="40"/>
      <c r="F96" s="30"/>
      <c r="G96" s="30"/>
      <c r="H96" s="30"/>
      <c r="I96" s="30"/>
      <c r="J96" s="30"/>
      <c r="K96" s="30"/>
    </row>
    <row r="97" spans="1:11" ht="18.75" x14ac:dyDescent="0.3">
      <c r="A97" s="4" t="s">
        <v>43</v>
      </c>
      <c r="B97" s="4" t="s">
        <v>13</v>
      </c>
      <c r="C97" s="184" t="s">
        <v>837</v>
      </c>
      <c r="D97" s="30"/>
      <c r="E97" s="40"/>
      <c r="F97" s="30"/>
      <c r="G97" s="30"/>
      <c r="H97" s="30"/>
      <c r="I97" s="30"/>
      <c r="J97" s="30"/>
      <c r="K97" s="30"/>
    </row>
    <row r="98" spans="1:11" ht="18.75" x14ac:dyDescent="0.3">
      <c r="A98" s="4" t="s">
        <v>399</v>
      </c>
      <c r="B98" s="4" t="s">
        <v>13</v>
      </c>
      <c r="C98" s="184" t="s">
        <v>838</v>
      </c>
      <c r="D98" s="30"/>
      <c r="E98" s="40"/>
      <c r="F98" s="30"/>
      <c r="G98" s="30"/>
      <c r="H98" s="30"/>
      <c r="I98" s="30"/>
      <c r="J98" s="30"/>
      <c r="K98" s="30"/>
    </row>
    <row r="99" spans="1:11" ht="18.75" x14ac:dyDescent="0.3">
      <c r="A99" s="4" t="s">
        <v>399</v>
      </c>
      <c r="B99" s="4" t="s">
        <v>13</v>
      </c>
      <c r="C99" s="184" t="s">
        <v>386</v>
      </c>
      <c r="D99" s="30"/>
      <c r="E99" s="40"/>
      <c r="F99" s="30"/>
      <c r="G99" s="30"/>
      <c r="H99" s="30"/>
      <c r="I99" s="30"/>
      <c r="J99" s="30"/>
      <c r="K99" s="30"/>
    </row>
    <row r="100" spans="1:11" ht="18.75" x14ac:dyDescent="0.3">
      <c r="A100" s="4" t="s">
        <v>43</v>
      </c>
      <c r="B100" s="4" t="s">
        <v>20</v>
      </c>
      <c r="C100" s="184" t="s">
        <v>839</v>
      </c>
      <c r="D100" s="30"/>
      <c r="E100" s="40"/>
      <c r="F100" s="30"/>
      <c r="G100" s="30"/>
      <c r="H100" s="30"/>
      <c r="I100" s="30"/>
      <c r="J100" s="30"/>
      <c r="K100" s="30"/>
    </row>
    <row r="101" spans="1:11" ht="18.75" x14ac:dyDescent="0.3">
      <c r="A101" s="117" t="s">
        <v>43</v>
      </c>
      <c r="B101" s="117" t="s">
        <v>13</v>
      </c>
      <c r="C101" s="184" t="s">
        <v>798</v>
      </c>
      <c r="D101" s="33"/>
      <c r="E101" s="120"/>
      <c r="F101" s="118"/>
      <c r="G101" s="117"/>
      <c r="H101" s="93"/>
      <c r="I101" s="93"/>
      <c r="J101" s="93"/>
      <c r="K101" s="93"/>
    </row>
    <row r="102" spans="1:11" ht="18.75" x14ac:dyDescent="0.3">
      <c r="A102" s="4" t="s">
        <v>52</v>
      </c>
      <c r="B102" s="4" t="s">
        <v>20</v>
      </c>
      <c r="C102" s="184" t="s">
        <v>53</v>
      </c>
      <c r="D102" s="33"/>
      <c r="E102" s="120"/>
      <c r="F102" s="118"/>
      <c r="G102" s="30"/>
      <c r="H102" s="30"/>
      <c r="I102" s="30"/>
      <c r="J102" s="30"/>
      <c r="K102" s="30"/>
    </row>
    <row r="103" spans="1:11" ht="18.75" x14ac:dyDescent="0.3">
      <c r="A103" s="4" t="s">
        <v>394</v>
      </c>
      <c r="B103" s="4" t="s">
        <v>20</v>
      </c>
      <c r="C103" s="184" t="s">
        <v>232</v>
      </c>
      <c r="D103" s="30"/>
      <c r="E103" s="40"/>
      <c r="F103" s="30"/>
      <c r="G103" s="30"/>
      <c r="H103" s="30"/>
      <c r="I103" s="30"/>
      <c r="J103" s="30"/>
      <c r="K103" s="30"/>
    </row>
    <row r="104" spans="1:11" ht="18.75" x14ac:dyDescent="0.3">
      <c r="A104" s="69" t="s">
        <v>394</v>
      </c>
      <c r="B104" s="69" t="s">
        <v>20</v>
      </c>
      <c r="C104" s="184" t="s">
        <v>168</v>
      </c>
      <c r="D104" s="72"/>
      <c r="E104" s="40"/>
      <c r="F104" s="30"/>
      <c r="G104" s="100"/>
      <c r="H104" s="85"/>
      <c r="I104" s="72"/>
      <c r="J104" s="72"/>
      <c r="K104" s="72"/>
    </row>
    <row r="105" spans="1:11" ht="18.75" x14ac:dyDescent="0.3">
      <c r="A105" s="4" t="s">
        <v>394</v>
      </c>
      <c r="B105" s="4" t="s">
        <v>20</v>
      </c>
      <c r="C105" s="184" t="s">
        <v>269</v>
      </c>
      <c r="D105" s="33"/>
      <c r="E105" s="40"/>
      <c r="F105" s="30"/>
      <c r="G105" s="30"/>
      <c r="H105" s="30"/>
      <c r="I105" s="30"/>
      <c r="J105" s="30"/>
      <c r="K105" s="30"/>
    </row>
    <row r="106" spans="1:11" ht="18.75" x14ac:dyDescent="0.3">
      <c r="A106" s="4" t="s">
        <v>43</v>
      </c>
      <c r="B106" s="4" t="s">
        <v>20</v>
      </c>
      <c r="C106" s="184" t="s">
        <v>186</v>
      </c>
      <c r="D106" s="30"/>
      <c r="E106" s="40"/>
      <c r="F106" s="30"/>
      <c r="G106" s="30"/>
      <c r="H106" s="30"/>
      <c r="I106" s="30"/>
      <c r="J106" s="30"/>
      <c r="K106" s="30"/>
    </row>
    <row r="107" spans="1:11" ht="18.75" x14ac:dyDescent="0.3">
      <c r="A107" s="44" t="s">
        <v>43</v>
      </c>
      <c r="B107" s="44" t="s">
        <v>20</v>
      </c>
      <c r="C107" s="186" t="s">
        <v>840</v>
      </c>
      <c r="D107" s="30"/>
      <c r="E107" s="40"/>
      <c r="F107" s="30"/>
      <c r="G107" s="30"/>
      <c r="H107" s="30"/>
      <c r="I107" s="30"/>
      <c r="J107" s="30"/>
      <c r="K107" s="30"/>
    </row>
    <row r="108" spans="1:11" ht="18.75" x14ac:dyDescent="0.3">
      <c r="A108" s="4" t="s">
        <v>52</v>
      </c>
      <c r="B108" s="4" t="s">
        <v>20</v>
      </c>
      <c r="C108" s="184" t="s">
        <v>172</v>
      </c>
      <c r="D108" s="30"/>
      <c r="E108" s="40"/>
      <c r="F108" s="30"/>
      <c r="G108" s="30"/>
      <c r="H108" s="30"/>
      <c r="I108" s="30"/>
      <c r="J108" s="30"/>
      <c r="K108" s="30"/>
    </row>
    <row r="109" spans="1:11" ht="18.75" x14ac:dyDescent="0.3">
      <c r="A109" s="4" t="s">
        <v>12</v>
      </c>
      <c r="B109" s="4" t="s">
        <v>13</v>
      </c>
      <c r="C109" s="184" t="s">
        <v>841</v>
      </c>
      <c r="D109" s="30"/>
      <c r="E109" s="40"/>
      <c r="F109" s="30"/>
      <c r="G109" s="30"/>
      <c r="H109" s="30"/>
      <c r="I109" s="30"/>
      <c r="J109" s="30"/>
      <c r="K109" s="30"/>
    </row>
    <row r="110" spans="1:11" ht="18.75" x14ac:dyDescent="0.3">
      <c r="A110" s="4" t="s">
        <v>43</v>
      </c>
      <c r="B110" s="4" t="s">
        <v>20</v>
      </c>
      <c r="C110" s="184" t="s">
        <v>842</v>
      </c>
      <c r="D110" s="30"/>
      <c r="E110" s="40"/>
      <c r="F110" s="30"/>
      <c r="G110" s="30"/>
      <c r="H110" s="30"/>
      <c r="I110" s="30"/>
      <c r="J110" s="30"/>
      <c r="K110" s="30"/>
    </row>
    <row r="111" spans="1:11" ht="18.75" x14ac:dyDescent="0.3">
      <c r="A111" s="4" t="s">
        <v>12</v>
      </c>
      <c r="B111" s="4" t="s">
        <v>13</v>
      </c>
      <c r="C111" s="184" t="s">
        <v>38</v>
      </c>
      <c r="D111" s="30"/>
      <c r="E111" s="40"/>
      <c r="F111" s="30"/>
      <c r="G111" s="30"/>
      <c r="H111" s="30"/>
      <c r="I111" s="30"/>
      <c r="J111" s="30"/>
      <c r="K111" s="30"/>
    </row>
    <row r="112" spans="1:11" ht="18.75" x14ac:dyDescent="0.3">
      <c r="A112" s="4" t="s">
        <v>399</v>
      </c>
      <c r="B112" s="4" t="s">
        <v>20</v>
      </c>
      <c r="C112" s="184" t="s">
        <v>845</v>
      </c>
      <c r="D112" s="30"/>
      <c r="E112" s="40"/>
      <c r="F112" s="30"/>
      <c r="G112" s="30"/>
      <c r="H112" s="30"/>
      <c r="I112" s="30"/>
      <c r="J112" s="30"/>
      <c r="K112" s="30"/>
    </row>
    <row r="113" spans="1:11" ht="18.75" x14ac:dyDescent="0.3">
      <c r="A113" s="4" t="s">
        <v>399</v>
      </c>
      <c r="B113" s="4" t="s">
        <v>20</v>
      </c>
      <c r="C113" s="184" t="s">
        <v>847</v>
      </c>
      <c r="D113" s="119"/>
      <c r="E113" s="30"/>
      <c r="F113" s="30"/>
      <c r="G113" s="30"/>
      <c r="H113" s="30"/>
      <c r="I113" s="30"/>
      <c r="J113" s="30"/>
      <c r="K113" s="30"/>
    </row>
    <row r="114" spans="1:11" ht="18.75" x14ac:dyDescent="0.3">
      <c r="A114" s="37"/>
      <c r="B114" s="37"/>
      <c r="C114" s="184"/>
      <c r="D114" s="30"/>
      <c r="E114" s="40"/>
      <c r="F114" s="30"/>
      <c r="G114" s="30"/>
      <c r="H114" s="30"/>
      <c r="I114" s="30"/>
      <c r="J114" s="30"/>
      <c r="K114" s="30"/>
    </row>
    <row r="115" spans="1:11" ht="18.75" x14ac:dyDescent="0.3">
      <c r="A115" s="4"/>
      <c r="B115" s="4"/>
      <c r="C115" s="184"/>
      <c r="D115" s="30"/>
      <c r="E115" s="40"/>
      <c r="F115" s="30"/>
      <c r="G115" s="30"/>
      <c r="H115" s="30"/>
      <c r="I115" s="30"/>
      <c r="J115" s="30"/>
      <c r="K115" s="30"/>
    </row>
    <row r="116" spans="1:11" ht="18.75" x14ac:dyDescent="0.3">
      <c r="A116" s="69"/>
      <c r="B116" s="69"/>
      <c r="C116" s="184"/>
      <c r="D116" s="30"/>
      <c r="E116" s="40"/>
      <c r="F116" s="30"/>
      <c r="G116" s="30"/>
      <c r="H116" s="30"/>
      <c r="I116" s="30"/>
      <c r="J116" s="30"/>
      <c r="K116" s="30"/>
    </row>
    <row r="117" spans="1:11" ht="18.75" x14ac:dyDescent="0.3">
      <c r="A117" s="4"/>
      <c r="B117" s="4"/>
      <c r="C117" s="184"/>
      <c r="D117" s="30"/>
      <c r="E117" s="40"/>
      <c r="F117" s="30"/>
      <c r="G117" s="30"/>
      <c r="H117" s="30"/>
      <c r="I117" s="30"/>
      <c r="J117" s="30"/>
      <c r="K117" s="30"/>
    </row>
    <row r="118" spans="1:11" ht="18.75" x14ac:dyDescent="0.3">
      <c r="A118" s="4"/>
      <c r="B118" s="4"/>
      <c r="C118" s="184"/>
      <c r="D118" s="30"/>
      <c r="E118" s="40"/>
      <c r="F118" s="30"/>
      <c r="G118" s="30"/>
      <c r="H118" s="30"/>
      <c r="I118" s="30"/>
      <c r="J118" s="30"/>
      <c r="K118" s="30"/>
    </row>
    <row r="119" spans="1:11" ht="18.75" x14ac:dyDescent="0.3">
      <c r="A119" s="4"/>
      <c r="B119" s="4"/>
      <c r="C119" s="184"/>
      <c r="D119" s="30"/>
      <c r="E119" s="40"/>
      <c r="F119" s="30"/>
      <c r="G119" s="30"/>
      <c r="H119" s="30"/>
      <c r="I119" s="30"/>
      <c r="J119" s="30"/>
      <c r="K119" s="30"/>
    </row>
    <row r="120" spans="1:11" ht="18.75" x14ac:dyDescent="0.3">
      <c r="A120" s="69"/>
      <c r="B120" s="69"/>
      <c r="C120" s="184"/>
      <c r="D120" s="30"/>
      <c r="E120" s="40"/>
      <c r="F120" s="30"/>
      <c r="G120" s="30"/>
      <c r="H120" s="30"/>
      <c r="I120" s="30"/>
      <c r="J120" s="30"/>
      <c r="K120" s="30"/>
    </row>
    <row r="121" spans="1:11" ht="18.75" x14ac:dyDescent="0.3">
      <c r="A121" s="3"/>
      <c r="B121" s="4"/>
      <c r="C121" s="184"/>
      <c r="D121" s="30"/>
      <c r="E121" s="40"/>
      <c r="F121" s="30"/>
      <c r="G121" s="30"/>
      <c r="H121" s="30"/>
      <c r="I121" s="30"/>
      <c r="J121" s="30"/>
      <c r="K121" s="30"/>
    </row>
    <row r="122" spans="1:11" x14ac:dyDescent="0.25">
      <c r="A122" s="30"/>
      <c r="B122" s="30"/>
      <c r="C122" s="187"/>
      <c r="D122" s="30"/>
      <c r="E122" s="40"/>
      <c r="F122" s="30"/>
      <c r="G122" s="30"/>
      <c r="H122" s="30"/>
      <c r="I122" s="30"/>
      <c r="J122" s="30"/>
      <c r="K122" s="30"/>
    </row>
  </sheetData>
  <autoFilter ref="A1:K121" xr:uid="{E47467A4-0D9C-47B5-8956-0208DC9B3BDF}">
    <sortState xmlns:xlrd2="http://schemas.microsoft.com/office/spreadsheetml/2017/richdata2" ref="A2:K121">
      <sortCondition ref="D1:D121"/>
    </sortState>
  </autoFilter>
  <conditionalFormatting sqref="C2 H2:H4 G2:G9">
    <cfRule type="containsText" dxfId="54" priority="7" operator="containsText" text="Done">
      <formula>NOT(ISERROR(SEARCH(("Done"),(C2))))</formula>
    </cfRule>
  </conditionalFormatting>
  <conditionalFormatting sqref="C4:C31 G13">
    <cfRule type="containsText" dxfId="53" priority="2" operator="containsText" text="Done">
      <formula>NOT(ISERROR(SEARCH(("Done"),(C4))))</formula>
    </cfRule>
  </conditionalFormatting>
  <conditionalFormatting sqref="C34:C94 C96:C112 C114:C122">
    <cfRule type="containsText" dxfId="52" priority="6" operator="containsText" text="Done">
      <formula>NOT(ISERROR(SEARCH(("Done"),(C34))))</formula>
    </cfRule>
  </conditionalFormatting>
  <conditionalFormatting sqref="D2 C3:D3">
    <cfRule type="containsBlanks" dxfId="51" priority="5">
      <formula>LEN(TRIM(C2))=0</formula>
    </cfRule>
  </conditionalFormatting>
  <conditionalFormatting sqref="E113:F113">
    <cfRule type="cellIs" dxfId="50" priority="3" operator="lessThan">
      <formula>TODAY()</formula>
    </cfRule>
    <cfRule type="containsBlanks" dxfId="49" priority="4">
      <formula>LEN(TRIM(E113))=0</formula>
    </cfRule>
  </conditionalFormatting>
  <conditionalFormatting sqref="I1:K122 D4:D122">
    <cfRule type="containsBlanks" dxfId="48" priority="1">
      <formula>LEN(TRIM(D1))=0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0000"/>
    <outlinePr summaryBelow="0" summaryRight="0"/>
  </sheetPr>
  <dimension ref="A2:N995"/>
  <sheetViews>
    <sheetView zoomScale="160" zoomScaleNormal="160" workbookViewId="0">
      <pane ySplit="2" topLeftCell="A56" activePane="bottomLeft" state="frozen"/>
      <selection pane="bottomLeft" activeCell="E1" sqref="E1"/>
    </sheetView>
  </sheetViews>
  <sheetFormatPr defaultColWidth="12.5703125" defaultRowHeight="12.75" x14ac:dyDescent="0.2"/>
  <cols>
    <col min="1" max="1" width="12.28515625" bestFit="1" customWidth="1"/>
    <col min="2" max="2" width="11.140625" bestFit="1" customWidth="1"/>
    <col min="3" max="3" width="38" bestFit="1" customWidth="1"/>
    <col min="4" max="4" width="36.42578125" bestFit="1" customWidth="1"/>
    <col min="5" max="5" width="42.7109375" hidden="1" customWidth="1"/>
    <col min="6" max="7" width="12.7109375" bestFit="1" customWidth="1"/>
    <col min="8" max="8" width="18.28515625" bestFit="1" customWidth="1"/>
    <col min="9" max="9" width="25.42578125" style="60" bestFit="1" customWidth="1"/>
    <col min="10" max="10" width="34.5703125" style="39" bestFit="1" customWidth="1"/>
    <col min="11" max="11" width="36.28515625" bestFit="1" customWidth="1"/>
    <col min="12" max="12" width="22.85546875" bestFit="1" customWidth="1"/>
    <col min="14" max="14" width="3" bestFit="1" customWidth="1"/>
  </cols>
  <sheetData>
    <row r="2" spans="1:14" ht="15.75" x14ac:dyDescent="0.25">
      <c r="A2" s="35" t="s">
        <v>1</v>
      </c>
      <c r="B2" s="35" t="s">
        <v>387</v>
      </c>
      <c r="C2" s="35" t="s">
        <v>3</v>
      </c>
      <c r="D2" s="35" t="s">
        <v>4</v>
      </c>
      <c r="E2" s="35" t="s">
        <v>388</v>
      </c>
      <c r="F2" s="35" t="s">
        <v>5</v>
      </c>
      <c r="G2" s="35" t="s">
        <v>6</v>
      </c>
      <c r="H2" s="35" t="s">
        <v>389</v>
      </c>
      <c r="I2" s="64" t="s">
        <v>390</v>
      </c>
      <c r="J2" s="38" t="s">
        <v>9</v>
      </c>
      <c r="K2" s="36" t="s">
        <v>11</v>
      </c>
      <c r="L2" s="36" t="s">
        <v>10</v>
      </c>
    </row>
    <row r="3" spans="1:14" ht="15.75" x14ac:dyDescent="0.25">
      <c r="A3" s="45" t="s">
        <v>25</v>
      </c>
      <c r="B3" s="45" t="s">
        <v>13</v>
      </c>
      <c r="C3" s="45" t="s">
        <v>391</v>
      </c>
      <c r="D3" s="45" t="s">
        <v>199</v>
      </c>
      <c r="E3" s="49" t="s">
        <v>392</v>
      </c>
      <c r="F3" s="46">
        <v>45245</v>
      </c>
      <c r="G3" s="47">
        <v>45248</v>
      </c>
      <c r="H3" s="47">
        <v>45339</v>
      </c>
      <c r="I3" s="57" t="s">
        <v>393</v>
      </c>
      <c r="J3" s="50" t="s">
        <v>111</v>
      </c>
      <c r="K3" s="51" t="s">
        <v>71</v>
      </c>
      <c r="L3" s="51" t="s">
        <v>29</v>
      </c>
    </row>
    <row r="4" spans="1:14" ht="15.75" x14ac:dyDescent="0.25">
      <c r="A4" s="45" t="s">
        <v>394</v>
      </c>
      <c r="B4" s="45" t="s">
        <v>13</v>
      </c>
      <c r="C4" s="66" t="s">
        <v>160</v>
      </c>
      <c r="D4" s="45" t="s">
        <v>78</v>
      </c>
      <c r="E4" s="49" t="s">
        <v>395</v>
      </c>
      <c r="F4" s="46">
        <v>45335</v>
      </c>
      <c r="G4" s="47">
        <v>45340</v>
      </c>
      <c r="H4" s="47">
        <v>45340</v>
      </c>
      <c r="I4" s="57" t="s">
        <v>393</v>
      </c>
      <c r="J4" s="50" t="s">
        <v>162</v>
      </c>
      <c r="K4" s="51" t="s">
        <v>396</v>
      </c>
      <c r="L4" s="51" t="s">
        <v>163</v>
      </c>
    </row>
    <row r="5" spans="1:14" ht="15.75" x14ac:dyDescent="0.25">
      <c r="A5" s="45" t="s">
        <v>52</v>
      </c>
      <c r="B5" s="45" t="s">
        <v>20</v>
      </c>
      <c r="C5" s="45" t="s">
        <v>786</v>
      </c>
      <c r="D5" s="45" t="s">
        <v>373</v>
      </c>
      <c r="E5" s="49" t="s">
        <v>397</v>
      </c>
      <c r="F5" s="46">
        <v>45352</v>
      </c>
      <c r="G5" s="47">
        <v>45360</v>
      </c>
      <c r="H5" s="46">
        <v>45358</v>
      </c>
      <c r="I5" s="57" t="s">
        <v>393</v>
      </c>
      <c r="J5" s="50" t="s">
        <v>398</v>
      </c>
      <c r="K5" s="51" t="s">
        <v>362</v>
      </c>
      <c r="L5" s="51" t="s">
        <v>191</v>
      </c>
    </row>
    <row r="6" spans="1:14" ht="15.75" x14ac:dyDescent="0.25">
      <c r="A6" s="45" t="s">
        <v>399</v>
      </c>
      <c r="B6" s="45" t="s">
        <v>20</v>
      </c>
      <c r="C6" s="45" t="s">
        <v>787</v>
      </c>
      <c r="D6" s="45" t="s">
        <v>400</v>
      </c>
      <c r="E6" s="49" t="s">
        <v>401</v>
      </c>
      <c r="F6" s="46">
        <v>45384</v>
      </c>
      <c r="G6" s="47">
        <v>45388</v>
      </c>
      <c r="H6" s="46">
        <v>45387</v>
      </c>
      <c r="I6" s="65" t="s">
        <v>393</v>
      </c>
      <c r="J6" s="50" t="s">
        <v>170</v>
      </c>
      <c r="K6" s="51" t="s">
        <v>307</v>
      </c>
      <c r="L6" s="51" t="s">
        <v>402</v>
      </c>
      <c r="N6" s="7"/>
    </row>
    <row r="7" spans="1:14" ht="15.75" x14ac:dyDescent="0.25">
      <c r="A7" s="45" t="s">
        <v>43</v>
      </c>
      <c r="B7" s="45" t="s">
        <v>13</v>
      </c>
      <c r="C7" s="45" t="s">
        <v>316</v>
      </c>
      <c r="D7" s="45" t="s">
        <v>161</v>
      </c>
      <c r="E7" s="49" t="s">
        <v>403</v>
      </c>
      <c r="F7" s="46">
        <v>45398</v>
      </c>
      <c r="G7" s="47">
        <v>45402</v>
      </c>
      <c r="H7" s="46">
        <v>45399</v>
      </c>
      <c r="I7" s="65" t="s">
        <v>393</v>
      </c>
      <c r="J7" s="50" t="s">
        <v>404</v>
      </c>
      <c r="K7" s="51" t="s">
        <v>405</v>
      </c>
      <c r="L7" s="51" t="s">
        <v>406</v>
      </c>
    </row>
    <row r="8" spans="1:14" ht="15.75" x14ac:dyDescent="0.25">
      <c r="A8" s="45" t="s">
        <v>25</v>
      </c>
      <c r="B8" s="45" t="s">
        <v>20</v>
      </c>
      <c r="C8" s="45" t="s">
        <v>290</v>
      </c>
      <c r="D8" s="45" t="s">
        <v>407</v>
      </c>
      <c r="E8" s="49" t="s">
        <v>408</v>
      </c>
      <c r="F8" s="46">
        <v>45333</v>
      </c>
      <c r="G8" s="47">
        <v>45340</v>
      </c>
      <c r="H8" s="47">
        <v>45339</v>
      </c>
      <c r="I8" s="57" t="s">
        <v>393</v>
      </c>
      <c r="J8" s="50" t="s">
        <v>111</v>
      </c>
      <c r="K8" s="51" t="s">
        <v>28</v>
      </c>
      <c r="L8" s="51" t="s">
        <v>409</v>
      </c>
    </row>
    <row r="9" spans="1:14" ht="15.75" x14ac:dyDescent="0.25">
      <c r="A9" s="45" t="s">
        <v>52</v>
      </c>
      <c r="B9" s="45" t="s">
        <v>13</v>
      </c>
      <c r="C9" s="45" t="s">
        <v>789</v>
      </c>
      <c r="D9" s="45" t="s">
        <v>350</v>
      </c>
      <c r="E9" s="49" t="s">
        <v>410</v>
      </c>
      <c r="F9" s="46">
        <v>45370</v>
      </c>
      <c r="G9" s="47">
        <v>45374</v>
      </c>
      <c r="H9" s="47">
        <v>45373</v>
      </c>
      <c r="I9" s="65" t="s">
        <v>393</v>
      </c>
      <c r="J9" s="50" t="s">
        <v>250</v>
      </c>
      <c r="K9" s="51" t="s">
        <v>28</v>
      </c>
      <c r="L9" s="51" t="s">
        <v>29</v>
      </c>
    </row>
    <row r="10" spans="1:14" ht="15.75" x14ac:dyDescent="0.25">
      <c r="A10" s="48" t="s">
        <v>12</v>
      </c>
      <c r="B10" s="48" t="s">
        <v>20</v>
      </c>
      <c r="C10" s="48" t="s">
        <v>140</v>
      </c>
      <c r="D10" s="45" t="s">
        <v>199</v>
      </c>
      <c r="E10" s="49" t="s">
        <v>411</v>
      </c>
      <c r="F10" s="46">
        <v>45072</v>
      </c>
      <c r="G10" s="47">
        <v>45087</v>
      </c>
      <c r="H10" s="47">
        <v>45079</v>
      </c>
      <c r="I10" s="57" t="s">
        <v>393</v>
      </c>
      <c r="J10" s="50" t="s">
        <v>142</v>
      </c>
      <c r="K10" s="51" t="s">
        <v>412</v>
      </c>
      <c r="L10" s="51" t="s">
        <v>32</v>
      </c>
    </row>
    <row r="11" spans="1:14" ht="15.75" x14ac:dyDescent="0.25">
      <c r="A11" s="48" t="s">
        <v>12</v>
      </c>
      <c r="B11" s="48" t="s">
        <v>20</v>
      </c>
      <c r="C11" s="48" t="s">
        <v>140</v>
      </c>
      <c r="D11" s="45" t="s">
        <v>235</v>
      </c>
      <c r="E11" s="49" t="s">
        <v>411</v>
      </c>
      <c r="F11" s="46">
        <v>45401</v>
      </c>
      <c r="G11" s="47">
        <v>45416</v>
      </c>
      <c r="H11" s="47">
        <v>45411</v>
      </c>
      <c r="I11" s="58" t="s">
        <v>393</v>
      </c>
      <c r="J11" s="50" t="s">
        <v>142</v>
      </c>
      <c r="K11" s="51" t="s">
        <v>413</v>
      </c>
      <c r="L11" s="51" t="s">
        <v>32</v>
      </c>
    </row>
    <row r="12" spans="1:14" ht="15.75" x14ac:dyDescent="0.25">
      <c r="A12" s="45" t="s">
        <v>12</v>
      </c>
      <c r="B12" s="45" t="s">
        <v>20</v>
      </c>
      <c r="C12" s="45" t="s">
        <v>385</v>
      </c>
      <c r="D12" s="45" t="s">
        <v>414</v>
      </c>
      <c r="E12" s="46" t="s">
        <v>415</v>
      </c>
      <c r="F12" s="46">
        <v>45399</v>
      </c>
      <c r="G12" s="47">
        <v>45402</v>
      </c>
      <c r="H12" s="47">
        <v>45400</v>
      </c>
      <c r="I12" s="65" t="s">
        <v>393</v>
      </c>
      <c r="J12" s="53" t="s">
        <v>416</v>
      </c>
      <c r="K12" s="53" t="s">
        <v>417</v>
      </c>
      <c r="L12" s="55" t="s">
        <v>418</v>
      </c>
    </row>
    <row r="13" spans="1:14" ht="15.75" x14ac:dyDescent="0.25">
      <c r="A13" s="45" t="s">
        <v>43</v>
      </c>
      <c r="B13" s="45" t="s">
        <v>13</v>
      </c>
      <c r="C13" s="45" t="s">
        <v>419</v>
      </c>
      <c r="D13" s="45" t="s">
        <v>420</v>
      </c>
      <c r="E13" s="49" t="s">
        <v>421</v>
      </c>
      <c r="F13" s="46">
        <v>45343</v>
      </c>
      <c r="G13" s="47">
        <v>45347</v>
      </c>
      <c r="H13" s="47">
        <v>45345</v>
      </c>
      <c r="I13" s="57" t="s">
        <v>393</v>
      </c>
      <c r="J13" s="50" t="s">
        <v>183</v>
      </c>
      <c r="K13" s="51" t="s">
        <v>422</v>
      </c>
      <c r="L13" s="51" t="s">
        <v>184</v>
      </c>
    </row>
    <row r="14" spans="1:14" ht="15.75" x14ac:dyDescent="0.25">
      <c r="A14" s="45" t="s">
        <v>52</v>
      </c>
      <c r="B14" s="45" t="s">
        <v>13</v>
      </c>
      <c r="C14" s="45" t="s">
        <v>242</v>
      </c>
      <c r="D14" s="45" t="s">
        <v>78</v>
      </c>
      <c r="E14" s="49" t="s">
        <v>423</v>
      </c>
      <c r="F14" s="46">
        <v>45363</v>
      </c>
      <c r="G14" s="47">
        <v>45367</v>
      </c>
      <c r="H14" s="47">
        <v>45367</v>
      </c>
      <c r="I14" s="57" t="s">
        <v>393</v>
      </c>
      <c r="J14" s="50" t="s">
        <v>424</v>
      </c>
      <c r="K14" s="50" t="s">
        <v>425</v>
      </c>
      <c r="L14" s="51" t="s">
        <v>241</v>
      </c>
    </row>
    <row r="15" spans="1:14" ht="15.75" x14ac:dyDescent="0.25">
      <c r="A15" s="48" t="s">
        <v>12</v>
      </c>
      <c r="B15" s="45" t="s">
        <v>13</v>
      </c>
      <c r="C15" s="45" t="s">
        <v>791</v>
      </c>
      <c r="D15" s="45" t="s">
        <v>426</v>
      </c>
      <c r="E15" s="49" t="s">
        <v>427</v>
      </c>
      <c r="F15" s="46">
        <v>45235</v>
      </c>
      <c r="G15" s="47">
        <v>45239</v>
      </c>
      <c r="H15" s="47">
        <v>45255</v>
      </c>
      <c r="I15" s="57" t="s">
        <v>393</v>
      </c>
      <c r="J15" s="50" t="s">
        <v>428</v>
      </c>
      <c r="K15" s="51" t="s">
        <v>429</v>
      </c>
      <c r="L15" s="51" t="s">
        <v>65</v>
      </c>
    </row>
    <row r="16" spans="1:14" ht="15.75" x14ac:dyDescent="0.25">
      <c r="A16" s="45" t="s">
        <v>25</v>
      </c>
      <c r="B16" s="45" t="s">
        <v>13</v>
      </c>
      <c r="C16" s="45" t="s">
        <v>112</v>
      </c>
      <c r="D16" s="45" t="s">
        <v>430</v>
      </c>
      <c r="E16" s="49" t="s">
        <v>431</v>
      </c>
      <c r="F16" s="46">
        <v>45252</v>
      </c>
      <c r="G16" s="47">
        <v>45255</v>
      </c>
      <c r="H16" s="47">
        <v>45339</v>
      </c>
      <c r="I16" s="57" t="s">
        <v>393</v>
      </c>
      <c r="J16" s="50" t="s">
        <v>432</v>
      </c>
      <c r="K16" s="51" t="s">
        <v>432</v>
      </c>
      <c r="L16" s="51" t="s">
        <v>114</v>
      </c>
    </row>
    <row r="17" spans="1:12" ht="15.75" x14ac:dyDescent="0.25">
      <c r="A17" s="45" t="s">
        <v>25</v>
      </c>
      <c r="B17" s="45" t="s">
        <v>20</v>
      </c>
      <c r="C17" s="45" t="s">
        <v>26</v>
      </c>
      <c r="D17" s="45" t="s">
        <v>104</v>
      </c>
      <c r="E17" s="49" t="s">
        <v>392</v>
      </c>
      <c r="F17" s="46">
        <v>45197</v>
      </c>
      <c r="G17" s="47">
        <v>45199</v>
      </c>
      <c r="H17" s="47">
        <v>45198</v>
      </c>
      <c r="I17" s="57" t="s">
        <v>393</v>
      </c>
      <c r="J17" s="50" t="s">
        <v>433</v>
      </c>
      <c r="K17" s="51" t="s">
        <v>71</v>
      </c>
      <c r="L17" s="51" t="s">
        <v>29</v>
      </c>
    </row>
    <row r="18" spans="1:12" ht="15.75" x14ac:dyDescent="0.25">
      <c r="A18" s="45" t="s">
        <v>399</v>
      </c>
      <c r="B18" s="45" t="s">
        <v>13</v>
      </c>
      <c r="C18" s="45" t="s">
        <v>296</v>
      </c>
      <c r="D18" s="45" t="s">
        <v>78</v>
      </c>
      <c r="E18" s="49" t="s">
        <v>434</v>
      </c>
      <c r="F18" s="46">
        <v>45399</v>
      </c>
      <c r="G18" s="47">
        <v>45402</v>
      </c>
      <c r="H18" s="47">
        <v>45400</v>
      </c>
      <c r="I18" s="65" t="s">
        <v>393</v>
      </c>
      <c r="J18" s="50" t="s">
        <v>187</v>
      </c>
      <c r="K18" s="51" t="s">
        <v>435</v>
      </c>
      <c r="L18" s="51" t="s">
        <v>298</v>
      </c>
    </row>
    <row r="19" spans="1:12" ht="15.75" x14ac:dyDescent="0.25">
      <c r="A19" s="45" t="s">
        <v>399</v>
      </c>
      <c r="B19" s="45" t="s">
        <v>20</v>
      </c>
      <c r="C19" s="45" t="s">
        <v>792</v>
      </c>
      <c r="D19" s="45" t="s">
        <v>78</v>
      </c>
      <c r="E19" s="49" t="s">
        <v>436</v>
      </c>
      <c r="F19" s="46">
        <v>45257</v>
      </c>
      <c r="G19" s="47">
        <v>45262</v>
      </c>
      <c r="H19" s="47">
        <v>45260</v>
      </c>
      <c r="I19" s="57" t="s">
        <v>393</v>
      </c>
      <c r="J19" s="50" t="s">
        <v>132</v>
      </c>
      <c r="K19" s="51" t="s">
        <v>134</v>
      </c>
      <c r="L19" s="51" t="s">
        <v>37</v>
      </c>
    </row>
    <row r="20" spans="1:12" ht="15.75" x14ac:dyDescent="0.25">
      <c r="A20" s="45" t="s">
        <v>394</v>
      </c>
      <c r="B20" s="45" t="s">
        <v>20</v>
      </c>
      <c r="C20" s="45" t="s">
        <v>244</v>
      </c>
      <c r="D20" s="45" t="s">
        <v>345</v>
      </c>
      <c r="E20" s="49" t="s">
        <v>438</v>
      </c>
      <c r="F20" s="46">
        <v>45402</v>
      </c>
      <c r="G20" s="47">
        <v>45409</v>
      </c>
      <c r="H20" s="47">
        <v>45408</v>
      </c>
      <c r="I20" s="58" t="s">
        <v>393</v>
      </c>
      <c r="J20" s="50" t="s">
        <v>69</v>
      </c>
      <c r="K20" s="51" t="s">
        <v>439</v>
      </c>
      <c r="L20" s="51" t="s">
        <v>440</v>
      </c>
    </row>
    <row r="21" spans="1:12" ht="15.75" x14ac:dyDescent="0.25">
      <c r="A21" s="45" t="s">
        <v>25</v>
      </c>
      <c r="B21" s="45" t="s">
        <v>13</v>
      </c>
      <c r="C21" s="45" t="s">
        <v>253</v>
      </c>
      <c r="D21" s="45" t="s">
        <v>161</v>
      </c>
      <c r="E21" s="49" t="s">
        <v>441</v>
      </c>
      <c r="F21" s="46">
        <v>45358</v>
      </c>
      <c r="G21" s="47">
        <v>45360</v>
      </c>
      <c r="H21" s="47">
        <v>45358</v>
      </c>
      <c r="I21" s="57" t="s">
        <v>393</v>
      </c>
      <c r="J21" s="50" t="s">
        <v>146</v>
      </c>
      <c r="K21" s="51" t="s">
        <v>254</v>
      </c>
      <c r="L21" s="51" t="s">
        <v>147</v>
      </c>
    </row>
    <row r="22" spans="1:12" ht="15.75" x14ac:dyDescent="0.25">
      <c r="A22" s="45" t="s">
        <v>25</v>
      </c>
      <c r="B22" s="45" t="s">
        <v>13</v>
      </c>
      <c r="C22" s="45" t="s">
        <v>239</v>
      </c>
      <c r="D22" s="45" t="s">
        <v>345</v>
      </c>
      <c r="E22" s="49" t="s">
        <v>443</v>
      </c>
      <c r="F22" s="46">
        <v>45406</v>
      </c>
      <c r="G22" s="47">
        <v>45409</v>
      </c>
      <c r="H22" s="47">
        <v>45407</v>
      </c>
      <c r="I22" s="58" t="s">
        <v>393</v>
      </c>
      <c r="J22" s="50" t="s">
        <v>250</v>
      </c>
      <c r="K22" s="51" t="s">
        <v>370</v>
      </c>
      <c r="L22" s="51" t="s">
        <v>29</v>
      </c>
    </row>
    <row r="23" spans="1:12" ht="15.75" x14ac:dyDescent="0.25">
      <c r="A23" s="45" t="s">
        <v>394</v>
      </c>
      <c r="B23" s="45" t="s">
        <v>20</v>
      </c>
      <c r="C23" s="45" t="s">
        <v>793</v>
      </c>
      <c r="D23" s="45" t="s">
        <v>249</v>
      </c>
      <c r="E23" s="49" t="s">
        <v>444</v>
      </c>
      <c r="F23" s="46">
        <v>45252</v>
      </c>
      <c r="G23" s="47">
        <v>45256</v>
      </c>
      <c r="H23" s="47">
        <v>45255</v>
      </c>
      <c r="I23" s="57" t="s">
        <v>393</v>
      </c>
      <c r="J23" s="50" t="s">
        <v>118</v>
      </c>
      <c r="K23" s="51" t="s">
        <v>445</v>
      </c>
      <c r="L23" s="51" t="s">
        <v>209</v>
      </c>
    </row>
    <row r="24" spans="1:12" ht="15.75" x14ac:dyDescent="0.25">
      <c r="A24" s="45" t="s">
        <v>43</v>
      </c>
      <c r="B24" s="45" t="s">
        <v>13</v>
      </c>
      <c r="C24" s="45" t="s">
        <v>794</v>
      </c>
      <c r="D24" s="45" t="s">
        <v>78</v>
      </c>
      <c r="E24" s="49" t="s">
        <v>446</v>
      </c>
      <c r="F24" s="46">
        <v>45398</v>
      </c>
      <c r="G24" s="47">
        <v>45402</v>
      </c>
      <c r="H24" s="47">
        <v>45398</v>
      </c>
      <c r="I24" s="65" t="s">
        <v>393</v>
      </c>
      <c r="J24" s="50" t="s">
        <v>73</v>
      </c>
      <c r="K24" s="51" t="s">
        <v>447</v>
      </c>
      <c r="L24" s="51" t="s">
        <v>448</v>
      </c>
    </row>
    <row r="25" spans="1:12" ht="15.75" x14ac:dyDescent="0.25">
      <c r="A25" s="45" t="s">
        <v>52</v>
      </c>
      <c r="B25" s="45" t="s">
        <v>20</v>
      </c>
      <c r="C25" s="45" t="s">
        <v>292</v>
      </c>
      <c r="D25" s="45" t="s">
        <v>95</v>
      </c>
      <c r="E25" s="49"/>
      <c r="F25" s="46">
        <v>45391</v>
      </c>
      <c r="G25" s="47">
        <v>45395</v>
      </c>
      <c r="H25" s="47">
        <v>45395</v>
      </c>
      <c r="I25" s="65" t="s">
        <v>393</v>
      </c>
      <c r="J25" s="51" t="s">
        <v>294</v>
      </c>
      <c r="K25" s="51" t="s">
        <v>449</v>
      </c>
      <c r="L25" s="51" t="s">
        <v>294</v>
      </c>
    </row>
    <row r="26" spans="1:12" ht="15.75" x14ac:dyDescent="0.25">
      <c r="A26" s="45" t="s">
        <v>25</v>
      </c>
      <c r="B26" s="45" t="s">
        <v>13</v>
      </c>
      <c r="C26" s="45" t="s">
        <v>144</v>
      </c>
      <c r="D26" s="45" t="s">
        <v>262</v>
      </c>
      <c r="E26" s="49" t="s">
        <v>450</v>
      </c>
      <c r="F26" s="46">
        <v>45322</v>
      </c>
      <c r="G26" s="47">
        <v>45326</v>
      </c>
      <c r="H26" s="47">
        <v>45340</v>
      </c>
      <c r="I26" s="57" t="s">
        <v>393</v>
      </c>
      <c r="J26" s="50" t="s">
        <v>146</v>
      </c>
      <c r="K26" s="51" t="s">
        <v>254</v>
      </c>
      <c r="L26" s="51" t="s">
        <v>147</v>
      </c>
    </row>
    <row r="27" spans="1:12" ht="15.75" x14ac:dyDescent="0.25">
      <c r="A27" s="45" t="s">
        <v>43</v>
      </c>
      <c r="B27" s="45" t="s">
        <v>20</v>
      </c>
      <c r="C27" s="45" t="s">
        <v>796</v>
      </c>
      <c r="D27" s="45" t="s">
        <v>451</v>
      </c>
      <c r="E27" s="49" t="s">
        <v>452</v>
      </c>
      <c r="F27" s="46">
        <v>45244</v>
      </c>
      <c r="G27" s="47">
        <v>45248</v>
      </c>
      <c r="H27" s="47">
        <v>45245</v>
      </c>
      <c r="I27" s="57" t="s">
        <v>393</v>
      </c>
      <c r="J27" s="50" t="s">
        <v>433</v>
      </c>
      <c r="K27" s="51" t="s">
        <v>453</v>
      </c>
      <c r="L27" s="51" t="s">
        <v>454</v>
      </c>
    </row>
    <row r="28" spans="1:12" ht="15.75" x14ac:dyDescent="0.25">
      <c r="A28" s="45" t="s">
        <v>12</v>
      </c>
      <c r="B28" s="45" t="s">
        <v>13</v>
      </c>
      <c r="C28" s="45" t="s">
        <v>797</v>
      </c>
      <c r="D28" s="45" t="s">
        <v>259</v>
      </c>
      <c r="E28" s="49" t="s">
        <v>456</v>
      </c>
      <c r="F28" s="46">
        <v>45386</v>
      </c>
      <c r="G28" s="47">
        <v>45396</v>
      </c>
      <c r="H28" s="47">
        <v>45395</v>
      </c>
      <c r="I28" s="65" t="s">
        <v>393</v>
      </c>
      <c r="J28" s="50" t="s">
        <v>457</v>
      </c>
      <c r="K28" s="50" t="s">
        <v>457</v>
      </c>
      <c r="L28" s="51" t="s">
        <v>458</v>
      </c>
    </row>
    <row r="29" spans="1:12" ht="15.75" x14ac:dyDescent="0.25">
      <c r="A29" s="45" t="s">
        <v>43</v>
      </c>
      <c r="B29" s="45" t="s">
        <v>13</v>
      </c>
      <c r="C29" s="45" t="s">
        <v>799</v>
      </c>
      <c r="D29" s="45" t="s">
        <v>161</v>
      </c>
      <c r="E29" s="49" t="s">
        <v>459</v>
      </c>
      <c r="F29" s="46">
        <v>45391</v>
      </c>
      <c r="G29" s="47">
        <v>45393</v>
      </c>
      <c r="H29" s="47">
        <v>45392</v>
      </c>
      <c r="I29" s="65" t="s">
        <v>393</v>
      </c>
      <c r="J29" s="50" t="s">
        <v>460</v>
      </c>
      <c r="K29" s="51" t="s">
        <v>461</v>
      </c>
      <c r="L29" s="50" t="s">
        <v>462</v>
      </c>
    </row>
    <row r="30" spans="1:12" ht="15.75" x14ac:dyDescent="0.25">
      <c r="A30" s="45" t="s">
        <v>399</v>
      </c>
      <c r="B30" s="45" t="s">
        <v>20</v>
      </c>
      <c r="C30" s="45" t="s">
        <v>829</v>
      </c>
      <c r="D30" s="45" t="s">
        <v>464</v>
      </c>
      <c r="E30" s="49" t="s">
        <v>465</v>
      </c>
      <c r="F30" s="46">
        <v>45376</v>
      </c>
      <c r="G30" s="47">
        <v>45381</v>
      </c>
      <c r="H30" s="47">
        <v>45379</v>
      </c>
      <c r="I30" s="65" t="s">
        <v>393</v>
      </c>
      <c r="J30" s="50" t="s">
        <v>170</v>
      </c>
      <c r="K30" s="51" t="s">
        <v>466</v>
      </c>
      <c r="L30" s="51" t="s">
        <v>155</v>
      </c>
    </row>
    <row r="31" spans="1:12" ht="15.75" x14ac:dyDescent="0.25">
      <c r="A31" s="45" t="s">
        <v>43</v>
      </c>
      <c r="B31" s="45" t="s">
        <v>13</v>
      </c>
      <c r="C31" s="45" t="s">
        <v>800</v>
      </c>
      <c r="D31" s="45" t="s">
        <v>305</v>
      </c>
      <c r="E31" s="49" t="s">
        <v>468</v>
      </c>
      <c r="F31" s="46">
        <v>45398</v>
      </c>
      <c r="G31" s="47">
        <v>45402</v>
      </c>
      <c r="H31" s="47">
        <v>45401</v>
      </c>
      <c r="I31" s="65" t="s">
        <v>393</v>
      </c>
      <c r="J31" s="50" t="s">
        <v>255</v>
      </c>
      <c r="K31" s="51" t="s">
        <v>81</v>
      </c>
      <c r="L31" s="51" t="s">
        <v>74</v>
      </c>
    </row>
    <row r="32" spans="1:12" ht="15.75" x14ac:dyDescent="0.25">
      <c r="A32" s="45" t="s">
        <v>43</v>
      </c>
      <c r="B32" s="45" t="s">
        <v>20</v>
      </c>
      <c r="C32" s="45" t="s">
        <v>802</v>
      </c>
      <c r="D32" s="45" t="s">
        <v>78</v>
      </c>
      <c r="E32" s="49" t="s">
        <v>469</v>
      </c>
      <c r="F32" s="46">
        <v>45385</v>
      </c>
      <c r="G32" s="47">
        <v>45388</v>
      </c>
      <c r="H32" s="47">
        <v>45388</v>
      </c>
      <c r="I32" s="65" t="s">
        <v>393</v>
      </c>
      <c r="J32" s="50" t="s">
        <v>363</v>
      </c>
      <c r="K32" s="51" t="s">
        <v>303</v>
      </c>
      <c r="L32" s="51" t="s">
        <v>133</v>
      </c>
    </row>
    <row r="33" spans="1:12" ht="15.75" x14ac:dyDescent="0.25">
      <c r="A33" s="45" t="s">
        <v>43</v>
      </c>
      <c r="B33" s="45" t="s">
        <v>13</v>
      </c>
      <c r="C33" s="45" t="s">
        <v>44</v>
      </c>
      <c r="D33" s="45" t="s">
        <v>22</v>
      </c>
      <c r="E33" s="49" t="s">
        <v>470</v>
      </c>
      <c r="F33" s="46">
        <v>45217</v>
      </c>
      <c r="G33" s="47">
        <v>45221</v>
      </c>
      <c r="H33" s="47">
        <v>45241</v>
      </c>
      <c r="I33" s="57" t="s">
        <v>393</v>
      </c>
      <c r="J33" s="50" t="s">
        <v>83</v>
      </c>
      <c r="K33" s="51" t="s">
        <v>83</v>
      </c>
      <c r="L33" s="51" t="s">
        <v>471</v>
      </c>
    </row>
    <row r="34" spans="1:12" ht="15.75" x14ac:dyDescent="0.25">
      <c r="A34" s="48" t="s">
        <v>12</v>
      </c>
      <c r="B34" s="45" t="s">
        <v>13</v>
      </c>
      <c r="C34" s="45" t="s">
        <v>804</v>
      </c>
      <c r="D34" s="45" t="s">
        <v>473</v>
      </c>
      <c r="E34" s="49" t="s">
        <v>474</v>
      </c>
      <c r="F34" s="46">
        <v>45273</v>
      </c>
      <c r="G34" s="47">
        <v>45276</v>
      </c>
      <c r="H34" s="47">
        <v>45256</v>
      </c>
      <c r="I34" s="57" t="s">
        <v>393</v>
      </c>
      <c r="J34" s="50" t="s">
        <v>175</v>
      </c>
      <c r="K34" s="51" t="s">
        <v>475</v>
      </c>
      <c r="L34" s="51" t="s">
        <v>476</v>
      </c>
    </row>
    <row r="35" spans="1:12" ht="15.75" x14ac:dyDescent="0.25">
      <c r="A35" s="45" t="s">
        <v>12</v>
      </c>
      <c r="B35" s="45" t="s">
        <v>13</v>
      </c>
      <c r="C35" s="45" t="s">
        <v>804</v>
      </c>
      <c r="D35" s="45" t="s">
        <v>477</v>
      </c>
      <c r="E35" s="49" t="s">
        <v>474</v>
      </c>
      <c r="F35" s="46">
        <v>45393</v>
      </c>
      <c r="G35" s="47">
        <v>45402</v>
      </c>
      <c r="H35" s="47">
        <v>45402</v>
      </c>
      <c r="I35" s="58" t="s">
        <v>393</v>
      </c>
      <c r="J35" s="50" t="s">
        <v>478</v>
      </c>
      <c r="K35" s="50" t="s">
        <v>478</v>
      </c>
      <c r="L35" s="51" t="s">
        <v>476</v>
      </c>
    </row>
    <row r="36" spans="1:12" ht="15.75" x14ac:dyDescent="0.25">
      <c r="A36" s="45" t="s">
        <v>394</v>
      </c>
      <c r="B36" s="45" t="s">
        <v>20</v>
      </c>
      <c r="C36" s="45" t="s">
        <v>283</v>
      </c>
      <c r="D36" s="45" t="s">
        <v>99</v>
      </c>
      <c r="E36" s="49" t="s">
        <v>479</v>
      </c>
      <c r="F36" s="46">
        <v>45378</v>
      </c>
      <c r="G36" s="47">
        <v>45378</v>
      </c>
      <c r="H36" s="47">
        <v>45381</v>
      </c>
      <c r="I36" s="65" t="s">
        <v>393</v>
      </c>
      <c r="J36" s="50" t="s">
        <v>284</v>
      </c>
      <c r="K36" s="51" t="s">
        <v>480</v>
      </c>
      <c r="L36" s="51" t="s">
        <v>29</v>
      </c>
    </row>
    <row r="37" spans="1:12" ht="15.75" x14ac:dyDescent="0.25">
      <c r="A37" s="45" t="s">
        <v>399</v>
      </c>
      <c r="B37" s="45" t="s">
        <v>13</v>
      </c>
      <c r="C37" s="45" t="s">
        <v>304</v>
      </c>
      <c r="D37" s="45" t="s">
        <v>481</v>
      </c>
      <c r="E37" s="49" t="s">
        <v>482</v>
      </c>
      <c r="F37" s="46">
        <v>45384</v>
      </c>
      <c r="G37" s="47">
        <v>45388</v>
      </c>
      <c r="H37" s="47">
        <v>45387</v>
      </c>
      <c r="I37" s="65" t="s">
        <v>393</v>
      </c>
      <c r="J37" s="50" t="s">
        <v>483</v>
      </c>
      <c r="K37" s="51" t="s">
        <v>484</v>
      </c>
      <c r="L37" s="51" t="s">
        <v>96</v>
      </c>
    </row>
    <row r="38" spans="1:12" ht="15.75" x14ac:dyDescent="0.25">
      <c r="A38" s="45" t="s">
        <v>43</v>
      </c>
      <c r="B38" s="45" t="s">
        <v>20</v>
      </c>
      <c r="C38" s="45" t="s">
        <v>805</v>
      </c>
      <c r="D38" s="45" t="s">
        <v>141</v>
      </c>
      <c r="E38" s="49" t="s">
        <v>459</v>
      </c>
      <c r="F38" s="46">
        <v>45350</v>
      </c>
      <c r="G38" s="47">
        <v>45353</v>
      </c>
      <c r="H38" s="47">
        <v>45353</v>
      </c>
      <c r="I38" s="57" t="s">
        <v>393</v>
      </c>
      <c r="J38" s="50" t="s">
        <v>79</v>
      </c>
      <c r="K38" s="51" t="s">
        <v>355</v>
      </c>
      <c r="L38" s="51" t="s">
        <v>177</v>
      </c>
    </row>
    <row r="39" spans="1:12" ht="15.75" x14ac:dyDescent="0.25">
      <c r="A39" s="45" t="s">
        <v>12</v>
      </c>
      <c r="B39" s="45" t="s">
        <v>13</v>
      </c>
      <c r="C39" s="45" t="s">
        <v>260</v>
      </c>
      <c r="D39" s="45" t="s">
        <v>68</v>
      </c>
      <c r="E39" s="49" t="s">
        <v>485</v>
      </c>
      <c r="F39" s="46">
        <v>45154</v>
      </c>
      <c r="G39" s="47">
        <v>45157</v>
      </c>
      <c r="H39" s="47">
        <v>45156</v>
      </c>
      <c r="I39" s="57" t="s">
        <v>393</v>
      </c>
      <c r="J39" s="50" t="s">
        <v>486</v>
      </c>
      <c r="K39" s="51" t="s">
        <v>487</v>
      </c>
      <c r="L39" s="51" t="s">
        <v>488</v>
      </c>
    </row>
    <row r="40" spans="1:12" ht="15.75" x14ac:dyDescent="0.25">
      <c r="A40" s="45" t="s">
        <v>12</v>
      </c>
      <c r="B40" s="45" t="s">
        <v>13</v>
      </c>
      <c r="C40" s="45" t="s">
        <v>321</v>
      </c>
      <c r="D40" s="45" t="s">
        <v>489</v>
      </c>
      <c r="E40" s="49" t="s">
        <v>490</v>
      </c>
      <c r="F40" s="46">
        <v>45372</v>
      </c>
      <c r="G40" s="47">
        <v>45374</v>
      </c>
      <c r="H40" s="47">
        <v>45374</v>
      </c>
      <c r="I40" s="65" t="s">
        <v>393</v>
      </c>
      <c r="J40" s="50" t="s">
        <v>491</v>
      </c>
      <c r="K40" s="51" t="s">
        <v>492</v>
      </c>
      <c r="L40" s="51" t="s">
        <v>493</v>
      </c>
    </row>
    <row r="41" spans="1:12" ht="15.75" x14ac:dyDescent="0.25">
      <c r="A41" s="45" t="s">
        <v>52</v>
      </c>
      <c r="B41" s="45" t="s">
        <v>13</v>
      </c>
      <c r="C41" s="45" t="s">
        <v>376</v>
      </c>
      <c r="D41" s="45" t="s">
        <v>104</v>
      </c>
      <c r="E41" s="49" t="s">
        <v>494</v>
      </c>
      <c r="F41" s="46">
        <v>45414</v>
      </c>
      <c r="G41" s="47">
        <v>45417</v>
      </c>
      <c r="H41" s="47">
        <v>45414</v>
      </c>
      <c r="I41" s="58" t="s">
        <v>393</v>
      </c>
      <c r="J41" s="50" t="s">
        <v>433</v>
      </c>
      <c r="K41" s="51" t="s">
        <v>362</v>
      </c>
      <c r="L41" s="51" t="s">
        <v>29</v>
      </c>
    </row>
    <row r="42" spans="1:12" ht="15.75" hidden="1" x14ac:dyDescent="0.25">
      <c r="A42" s="45" t="s">
        <v>43</v>
      </c>
      <c r="B42" s="45" t="s">
        <v>13</v>
      </c>
      <c r="C42" s="45" t="s">
        <v>830</v>
      </c>
      <c r="D42" s="45" t="s">
        <v>477</v>
      </c>
      <c r="E42" s="49" t="s">
        <v>495</v>
      </c>
      <c r="F42" s="46">
        <v>45239</v>
      </c>
      <c r="G42" s="47">
        <v>45241</v>
      </c>
      <c r="H42" s="46" t="s">
        <v>496</v>
      </c>
      <c r="I42" s="52" t="s">
        <v>496</v>
      </c>
      <c r="J42" s="50" t="s">
        <v>266</v>
      </c>
      <c r="K42" s="51" t="s">
        <v>46</v>
      </c>
      <c r="L42" s="51" t="s">
        <v>497</v>
      </c>
    </row>
    <row r="43" spans="1:12" ht="15.75" x14ac:dyDescent="0.25">
      <c r="A43" s="45" t="s">
        <v>25</v>
      </c>
      <c r="B43" s="45" t="s">
        <v>20</v>
      </c>
      <c r="C43" s="45" t="s">
        <v>309</v>
      </c>
      <c r="D43" s="45" t="s">
        <v>477</v>
      </c>
      <c r="E43" s="45" t="s">
        <v>392</v>
      </c>
      <c r="F43" s="47">
        <v>45398</v>
      </c>
      <c r="G43" s="47">
        <v>45402</v>
      </c>
      <c r="H43" s="46">
        <v>45402</v>
      </c>
      <c r="I43" s="58" t="s">
        <v>393</v>
      </c>
      <c r="J43" s="50" t="s">
        <v>424</v>
      </c>
      <c r="K43" s="51" t="s">
        <v>71</v>
      </c>
      <c r="L43" s="51" t="s">
        <v>498</v>
      </c>
    </row>
    <row r="44" spans="1:12" ht="15.75" x14ac:dyDescent="0.25">
      <c r="A44" s="45" t="s">
        <v>43</v>
      </c>
      <c r="B44" s="45" t="s">
        <v>13</v>
      </c>
      <c r="C44" s="45" t="s">
        <v>807</v>
      </c>
      <c r="D44" s="45" t="s">
        <v>235</v>
      </c>
      <c r="E44" s="49" t="s">
        <v>500</v>
      </c>
      <c r="F44" s="46">
        <v>45370</v>
      </c>
      <c r="G44" s="47">
        <v>45374</v>
      </c>
      <c r="H44" s="47">
        <v>45370</v>
      </c>
      <c r="I44" s="57" t="s">
        <v>393</v>
      </c>
      <c r="J44" s="50" t="s">
        <v>501</v>
      </c>
      <c r="K44" s="51" t="s">
        <v>453</v>
      </c>
      <c r="L44" s="51" t="s">
        <v>74</v>
      </c>
    </row>
    <row r="45" spans="1:12" ht="15.75" x14ac:dyDescent="0.25">
      <c r="A45" s="45" t="s">
        <v>399</v>
      </c>
      <c r="B45" s="45" t="s">
        <v>20</v>
      </c>
      <c r="C45" s="45" t="s">
        <v>277</v>
      </c>
      <c r="D45" s="45" t="s">
        <v>502</v>
      </c>
      <c r="E45" s="49" t="s">
        <v>503</v>
      </c>
      <c r="F45" s="46">
        <v>45390</v>
      </c>
      <c r="G45" s="47">
        <v>45395</v>
      </c>
      <c r="H45" s="47">
        <v>45392</v>
      </c>
      <c r="I45" s="65" t="s">
        <v>393</v>
      </c>
      <c r="J45" s="50" t="s">
        <v>504</v>
      </c>
      <c r="K45" s="51" t="s">
        <v>505</v>
      </c>
      <c r="L45" s="51" t="s">
        <v>37</v>
      </c>
    </row>
    <row r="46" spans="1:12" ht="15.75" x14ac:dyDescent="0.25">
      <c r="A46" s="45" t="s">
        <v>25</v>
      </c>
      <c r="B46" s="45" t="s">
        <v>20</v>
      </c>
      <c r="C46" s="45" t="s">
        <v>806</v>
      </c>
      <c r="D46" s="45" t="s">
        <v>506</v>
      </c>
      <c r="E46" s="49" t="s">
        <v>507</v>
      </c>
      <c r="F46" s="46">
        <v>45321</v>
      </c>
      <c r="G46" s="47">
        <v>45325</v>
      </c>
      <c r="H46" s="47">
        <v>45323</v>
      </c>
      <c r="I46" s="57" t="s">
        <v>393</v>
      </c>
      <c r="J46" s="50" t="s">
        <v>508</v>
      </c>
      <c r="K46" s="51" t="s">
        <v>509</v>
      </c>
      <c r="L46" s="51" t="s">
        <v>510</v>
      </c>
    </row>
    <row r="47" spans="1:12" ht="15.75" x14ac:dyDescent="0.25">
      <c r="A47" s="45" t="s">
        <v>43</v>
      </c>
      <c r="B47" s="45" t="s">
        <v>20</v>
      </c>
      <c r="C47" s="45" t="s">
        <v>808</v>
      </c>
      <c r="D47" s="45" t="s">
        <v>350</v>
      </c>
      <c r="E47" s="49" t="s">
        <v>511</v>
      </c>
      <c r="F47" s="46">
        <v>45237</v>
      </c>
      <c r="G47" s="47">
        <v>45241</v>
      </c>
      <c r="H47" s="47">
        <v>45240</v>
      </c>
      <c r="I47" s="57" t="str">
        <f>HYPERLINK("https://www.aims.ie/post/little-shop-of-horrors-as-presented-by-hxt-musical-society","direct link")</f>
        <v>direct link</v>
      </c>
      <c r="J47" s="50" t="s">
        <v>512</v>
      </c>
      <c r="K47" s="51" t="s">
        <v>513</v>
      </c>
      <c r="L47" s="51" t="s">
        <v>80</v>
      </c>
    </row>
    <row r="48" spans="1:12" ht="15.75" x14ac:dyDescent="0.25">
      <c r="A48" s="45" t="s">
        <v>399</v>
      </c>
      <c r="B48" s="45" t="s">
        <v>13</v>
      </c>
      <c r="C48" s="45" t="s">
        <v>21</v>
      </c>
      <c r="D48" s="45" t="s">
        <v>141</v>
      </c>
      <c r="E48" s="49" t="s">
        <v>515</v>
      </c>
      <c r="F48" s="46">
        <v>45175</v>
      </c>
      <c r="G48" s="47">
        <v>45178</v>
      </c>
      <c r="H48" s="47">
        <v>45176</v>
      </c>
      <c r="I48" s="57" t="s">
        <v>393</v>
      </c>
      <c r="J48" s="50" t="s">
        <v>23</v>
      </c>
      <c r="K48" s="51" t="s">
        <v>23</v>
      </c>
      <c r="L48" s="51" t="s">
        <v>516</v>
      </c>
    </row>
    <row r="49" spans="1:12" ht="15.75" hidden="1" x14ac:dyDescent="0.25">
      <c r="A49" s="45" t="s">
        <v>399</v>
      </c>
      <c r="B49" s="45" t="s">
        <v>13</v>
      </c>
      <c r="C49" s="45" t="s">
        <v>21</v>
      </c>
      <c r="D49" s="45" t="s">
        <v>517</v>
      </c>
      <c r="E49" s="49" t="s">
        <v>465</v>
      </c>
      <c r="F49" s="46">
        <v>45385</v>
      </c>
      <c r="G49" s="47">
        <v>45388</v>
      </c>
      <c r="H49" s="46" t="s">
        <v>496</v>
      </c>
      <c r="I49" s="52" t="s">
        <v>496</v>
      </c>
      <c r="J49" s="50" t="s">
        <v>23</v>
      </c>
      <c r="K49" s="51" t="s">
        <v>23</v>
      </c>
      <c r="L49" s="51" t="s">
        <v>516</v>
      </c>
    </row>
    <row r="50" spans="1:12" ht="15.75" x14ac:dyDescent="0.25">
      <c r="A50" s="45" t="s">
        <v>43</v>
      </c>
      <c r="B50" s="45" t="s">
        <v>20</v>
      </c>
      <c r="C50" s="45" t="s">
        <v>810</v>
      </c>
      <c r="D50" s="45" t="s">
        <v>286</v>
      </c>
      <c r="E50" s="49" t="s">
        <v>518</v>
      </c>
      <c r="F50" s="46">
        <v>45384</v>
      </c>
      <c r="G50" s="47">
        <v>45388</v>
      </c>
      <c r="H50" s="47">
        <v>45386</v>
      </c>
      <c r="I50" s="65" t="s">
        <v>393</v>
      </c>
      <c r="J50" s="50" t="s">
        <v>190</v>
      </c>
      <c r="K50" s="51" t="s">
        <v>519</v>
      </c>
      <c r="L50" s="51" t="s">
        <v>194</v>
      </c>
    </row>
    <row r="51" spans="1:12" ht="15.75" x14ac:dyDescent="0.25">
      <c r="A51" s="45" t="s">
        <v>399</v>
      </c>
      <c r="B51" s="45" t="s">
        <v>20</v>
      </c>
      <c r="C51" s="45" t="s">
        <v>366</v>
      </c>
      <c r="D51" s="45" t="s">
        <v>489</v>
      </c>
      <c r="E51" s="49" t="s">
        <v>520</v>
      </c>
      <c r="F51" s="46">
        <v>45399</v>
      </c>
      <c r="G51" s="47">
        <v>45403</v>
      </c>
      <c r="H51" s="47">
        <v>45401</v>
      </c>
      <c r="I51" s="65" t="s">
        <v>393</v>
      </c>
      <c r="J51" s="50" t="s">
        <v>521</v>
      </c>
      <c r="K51" s="51" t="s">
        <v>522</v>
      </c>
      <c r="L51" s="51" t="s">
        <v>155</v>
      </c>
    </row>
    <row r="52" spans="1:12" ht="15.75" x14ac:dyDescent="0.25">
      <c r="A52" s="45" t="s">
        <v>394</v>
      </c>
      <c r="B52" s="45" t="s">
        <v>13</v>
      </c>
      <c r="C52" s="45" t="s">
        <v>153</v>
      </c>
      <c r="D52" s="45" t="s">
        <v>502</v>
      </c>
      <c r="E52" s="49" t="s">
        <v>523</v>
      </c>
      <c r="F52" s="46">
        <v>45356</v>
      </c>
      <c r="G52" s="47">
        <v>45358</v>
      </c>
      <c r="H52" s="47">
        <v>45357</v>
      </c>
      <c r="I52" s="57" t="s">
        <v>393</v>
      </c>
      <c r="J52" s="50" t="s">
        <v>154</v>
      </c>
      <c r="K52" s="51" t="s">
        <v>154</v>
      </c>
      <c r="L52" s="51" t="s">
        <v>209</v>
      </c>
    </row>
    <row r="53" spans="1:12" ht="15.75" x14ac:dyDescent="0.25">
      <c r="A53" s="45" t="s">
        <v>43</v>
      </c>
      <c r="B53" s="45" t="s">
        <v>13</v>
      </c>
      <c r="C53" s="45" t="s">
        <v>311</v>
      </c>
      <c r="D53" s="45" t="s">
        <v>95</v>
      </c>
      <c r="E53" s="49" t="s">
        <v>500</v>
      </c>
      <c r="F53" s="46">
        <v>45391</v>
      </c>
      <c r="G53" s="46">
        <v>45395</v>
      </c>
      <c r="H53" s="47">
        <v>45391</v>
      </c>
      <c r="I53" s="65" t="s">
        <v>393</v>
      </c>
      <c r="J53" s="50" t="s">
        <v>524</v>
      </c>
      <c r="K53" s="51" t="s">
        <v>525</v>
      </c>
      <c r="L53" s="51" t="s">
        <v>526</v>
      </c>
    </row>
    <row r="54" spans="1:12" ht="15.75" x14ac:dyDescent="0.25">
      <c r="A54" s="45" t="s">
        <v>43</v>
      </c>
      <c r="B54" s="45" t="s">
        <v>13</v>
      </c>
      <c r="C54" s="45" t="s">
        <v>811</v>
      </c>
      <c r="D54" s="45" t="s">
        <v>262</v>
      </c>
      <c r="E54" s="49" t="s">
        <v>528</v>
      </c>
      <c r="F54" s="46">
        <v>45231</v>
      </c>
      <c r="G54" s="47">
        <v>45234</v>
      </c>
      <c r="H54" s="47">
        <v>45255</v>
      </c>
      <c r="I54" s="57" t="s">
        <v>393</v>
      </c>
      <c r="J54" s="50" t="s">
        <v>272</v>
      </c>
      <c r="K54" s="51" t="s">
        <v>529</v>
      </c>
      <c r="L54" s="51" t="s">
        <v>74</v>
      </c>
    </row>
    <row r="55" spans="1:12" ht="15.75" x14ac:dyDescent="0.25">
      <c r="A55" s="45" t="s">
        <v>43</v>
      </c>
      <c r="B55" s="45" t="s">
        <v>20</v>
      </c>
      <c r="C55" s="45" t="s">
        <v>812</v>
      </c>
      <c r="D55" s="45" t="s">
        <v>371</v>
      </c>
      <c r="E55" s="49" t="s">
        <v>530</v>
      </c>
      <c r="F55" s="46">
        <v>45405</v>
      </c>
      <c r="G55" s="47">
        <v>45409</v>
      </c>
      <c r="H55" s="47">
        <v>45409</v>
      </c>
      <c r="I55" s="58" t="s">
        <v>393</v>
      </c>
      <c r="J55" s="50" t="s">
        <v>319</v>
      </c>
      <c r="K55" s="51" t="s">
        <v>319</v>
      </c>
      <c r="L55" s="51" t="s">
        <v>80</v>
      </c>
    </row>
    <row r="56" spans="1:12" ht="15.75" x14ac:dyDescent="0.25">
      <c r="A56" s="48" t="s">
        <v>12</v>
      </c>
      <c r="B56" s="45" t="s">
        <v>13</v>
      </c>
      <c r="C56" s="45" t="s">
        <v>813</v>
      </c>
      <c r="D56" s="45" t="s">
        <v>22</v>
      </c>
      <c r="E56" s="49" t="s">
        <v>531</v>
      </c>
      <c r="F56" s="46">
        <v>45257</v>
      </c>
      <c r="G56" s="47">
        <v>45262</v>
      </c>
      <c r="H56" s="46">
        <v>45255</v>
      </c>
      <c r="I56" s="57" t="s">
        <v>393</v>
      </c>
      <c r="J56" s="50" t="s">
        <v>532</v>
      </c>
      <c r="K56" s="51" t="s">
        <v>532</v>
      </c>
      <c r="L56" s="51" t="s">
        <v>533</v>
      </c>
    </row>
    <row r="57" spans="1:12" ht="15.75" x14ac:dyDescent="0.25">
      <c r="A57" s="48" t="s">
        <v>12</v>
      </c>
      <c r="B57" s="45" t="s">
        <v>13</v>
      </c>
      <c r="C57" s="45" t="s">
        <v>195</v>
      </c>
      <c r="D57" s="45" t="s">
        <v>78</v>
      </c>
      <c r="E57" s="49" t="s">
        <v>534</v>
      </c>
      <c r="F57" s="46">
        <v>45356</v>
      </c>
      <c r="G57" s="47">
        <v>45360</v>
      </c>
      <c r="H57" s="46">
        <v>45360</v>
      </c>
      <c r="I57" s="57" t="s">
        <v>393</v>
      </c>
      <c r="J57" s="50" t="s">
        <v>196</v>
      </c>
      <c r="K57" s="51" t="s">
        <v>535</v>
      </c>
      <c r="L57" s="51" t="s">
        <v>536</v>
      </c>
    </row>
    <row r="58" spans="1:12" ht="15.75" x14ac:dyDescent="0.25">
      <c r="A58" s="66" t="s">
        <v>394</v>
      </c>
      <c r="B58" s="45" t="s">
        <v>13</v>
      </c>
      <c r="C58" s="45" t="s">
        <v>218</v>
      </c>
      <c r="D58" s="45" t="s">
        <v>477</v>
      </c>
      <c r="E58" s="49" t="s">
        <v>444</v>
      </c>
      <c r="F58" s="46">
        <v>45393</v>
      </c>
      <c r="G58" s="47">
        <v>45395</v>
      </c>
      <c r="H58" s="46">
        <v>45393</v>
      </c>
      <c r="I58" s="65" t="s">
        <v>393</v>
      </c>
      <c r="J58" s="51" t="s">
        <v>28</v>
      </c>
      <c r="K58" s="51" t="s">
        <v>171</v>
      </c>
      <c r="L58" s="51" t="s">
        <v>29</v>
      </c>
    </row>
    <row r="59" spans="1:12" ht="15.75" x14ac:dyDescent="0.25">
      <c r="A59" s="45" t="s">
        <v>12</v>
      </c>
      <c r="B59" s="45" t="s">
        <v>13</v>
      </c>
      <c r="C59" s="45" t="s">
        <v>815</v>
      </c>
      <c r="D59" s="45" t="s">
        <v>141</v>
      </c>
      <c r="E59" s="49" t="s">
        <v>411</v>
      </c>
      <c r="F59" s="46">
        <v>45398</v>
      </c>
      <c r="G59" s="47">
        <v>45402</v>
      </c>
      <c r="H59" s="46">
        <v>45402</v>
      </c>
      <c r="I59" s="58" t="s">
        <v>393</v>
      </c>
      <c r="J59" s="50" t="s">
        <v>222</v>
      </c>
      <c r="K59" s="51" t="s">
        <v>110</v>
      </c>
      <c r="L59" s="51" t="s">
        <v>537</v>
      </c>
    </row>
    <row r="60" spans="1:12" ht="15.75" x14ac:dyDescent="0.25">
      <c r="A60" s="45" t="s">
        <v>12</v>
      </c>
      <c r="B60" s="45" t="s">
        <v>13</v>
      </c>
      <c r="C60" s="45" t="s">
        <v>198</v>
      </c>
      <c r="D60" s="45" t="s">
        <v>477</v>
      </c>
      <c r="E60" s="49" t="s">
        <v>538</v>
      </c>
      <c r="F60" s="46">
        <v>45371</v>
      </c>
      <c r="G60" s="47">
        <v>45374</v>
      </c>
      <c r="H60" s="46">
        <v>45374</v>
      </c>
      <c r="I60" s="65" t="s">
        <v>393</v>
      </c>
      <c r="J60" s="50" t="s">
        <v>539</v>
      </c>
      <c r="K60" s="51" t="s">
        <v>540</v>
      </c>
      <c r="L60" s="51" t="s">
        <v>201</v>
      </c>
    </row>
    <row r="61" spans="1:12" ht="15.75" x14ac:dyDescent="0.25">
      <c r="A61" s="45" t="s">
        <v>394</v>
      </c>
      <c r="B61" s="45" t="s">
        <v>13</v>
      </c>
      <c r="C61" s="45" t="s">
        <v>814</v>
      </c>
      <c r="D61" s="45" t="s">
        <v>407</v>
      </c>
      <c r="E61" s="49" t="s">
        <v>541</v>
      </c>
      <c r="F61" s="46">
        <v>45238</v>
      </c>
      <c r="G61" s="47">
        <v>45241</v>
      </c>
      <c r="H61" s="46">
        <v>45238</v>
      </c>
      <c r="I61" s="57" t="s">
        <v>393</v>
      </c>
      <c r="J61" s="50" t="s">
        <v>121</v>
      </c>
      <c r="K61" s="51" t="s">
        <v>123</v>
      </c>
      <c r="L61" s="51" t="s">
        <v>122</v>
      </c>
    </row>
    <row r="62" spans="1:12" ht="15.75" x14ac:dyDescent="0.25">
      <c r="A62" s="45" t="s">
        <v>43</v>
      </c>
      <c r="B62" s="45" t="s">
        <v>20</v>
      </c>
      <c r="C62" s="45" t="s">
        <v>165</v>
      </c>
      <c r="D62" s="45" t="s">
        <v>542</v>
      </c>
      <c r="E62" s="49" t="s">
        <v>543</v>
      </c>
      <c r="F62" s="46">
        <v>45335</v>
      </c>
      <c r="G62" s="47">
        <v>45339</v>
      </c>
      <c r="H62" s="46">
        <v>45338</v>
      </c>
      <c r="I62" s="57" t="s">
        <v>393</v>
      </c>
      <c r="J62" s="50" t="s">
        <v>87</v>
      </c>
      <c r="K62" s="51" t="s">
        <v>544</v>
      </c>
      <c r="L62" s="51" t="s">
        <v>50</v>
      </c>
    </row>
    <row r="63" spans="1:12" ht="15.75" x14ac:dyDescent="0.25">
      <c r="A63" s="45" t="s">
        <v>25</v>
      </c>
      <c r="B63" s="45" t="s">
        <v>20</v>
      </c>
      <c r="C63" s="45" t="s">
        <v>817</v>
      </c>
      <c r="D63" s="45" t="s">
        <v>228</v>
      </c>
      <c r="E63" s="49" t="s">
        <v>545</v>
      </c>
      <c r="F63" s="46">
        <v>45230</v>
      </c>
      <c r="G63" s="47">
        <v>45234</v>
      </c>
      <c r="H63" s="47">
        <v>45233</v>
      </c>
      <c r="I63" s="57" t="s">
        <v>393</v>
      </c>
      <c r="J63" s="50" t="s">
        <v>250</v>
      </c>
      <c r="K63" s="51" t="s">
        <v>71</v>
      </c>
      <c r="L63" s="51" t="s">
        <v>29</v>
      </c>
    </row>
    <row r="64" spans="1:12" ht="15.75" x14ac:dyDescent="0.25">
      <c r="A64" s="45" t="s">
        <v>394</v>
      </c>
      <c r="B64" s="45" t="s">
        <v>13</v>
      </c>
      <c r="C64" s="45" t="s">
        <v>818</v>
      </c>
      <c r="D64" s="45" t="s">
        <v>546</v>
      </c>
      <c r="E64" s="49" t="s">
        <v>444</v>
      </c>
      <c r="F64" s="46">
        <v>45372</v>
      </c>
      <c r="G64" s="47">
        <v>45374</v>
      </c>
      <c r="H64" s="47">
        <v>45372</v>
      </c>
      <c r="I64" s="57" t="s">
        <v>393</v>
      </c>
      <c r="J64" s="50" t="s">
        <v>547</v>
      </c>
      <c r="K64" s="66" t="s">
        <v>548</v>
      </c>
      <c r="L64" s="51" t="s">
        <v>209</v>
      </c>
    </row>
    <row r="65" spans="1:12" ht="15.75" x14ac:dyDescent="0.25">
      <c r="A65" s="45" t="s">
        <v>394</v>
      </c>
      <c r="B65" s="45" t="s">
        <v>13</v>
      </c>
      <c r="C65" s="45" t="s">
        <v>215</v>
      </c>
      <c r="D65" s="45" t="s">
        <v>169</v>
      </c>
      <c r="E65" s="49" t="s">
        <v>549</v>
      </c>
      <c r="F65" s="46">
        <v>45371</v>
      </c>
      <c r="G65" s="47">
        <v>45374</v>
      </c>
      <c r="H65" s="47">
        <v>45371</v>
      </c>
      <c r="I65" s="58" t="s">
        <v>393</v>
      </c>
      <c r="J65" s="50" t="s">
        <v>550</v>
      </c>
      <c r="K65" s="56" t="s">
        <v>550</v>
      </c>
      <c r="L65" s="51" t="s">
        <v>163</v>
      </c>
    </row>
    <row r="66" spans="1:12" ht="15.75" x14ac:dyDescent="0.25">
      <c r="A66" s="45" t="s">
        <v>43</v>
      </c>
      <c r="B66" s="45" t="s">
        <v>20</v>
      </c>
      <c r="C66" s="45" t="s">
        <v>819</v>
      </c>
      <c r="D66" s="45" t="s">
        <v>551</v>
      </c>
      <c r="E66" s="49" t="s">
        <v>552</v>
      </c>
      <c r="F66" s="46">
        <v>45391</v>
      </c>
      <c r="G66" s="47">
        <v>45394</v>
      </c>
      <c r="H66" s="46">
        <v>45393</v>
      </c>
      <c r="I66" s="65" t="s">
        <v>393</v>
      </c>
      <c r="J66" s="51" t="s">
        <v>354</v>
      </c>
      <c r="K66" s="51" t="s">
        <v>553</v>
      </c>
      <c r="L66" s="51" t="s">
        <v>188</v>
      </c>
    </row>
    <row r="67" spans="1:12" ht="15.75" hidden="1" x14ac:dyDescent="0.25">
      <c r="A67" s="48" t="s">
        <v>12</v>
      </c>
      <c r="B67" s="45" t="s">
        <v>13</v>
      </c>
      <c r="C67" s="45" t="s">
        <v>251</v>
      </c>
      <c r="D67" s="45" t="s">
        <v>464</v>
      </c>
      <c r="E67" s="49" t="s">
        <v>531</v>
      </c>
      <c r="F67" s="46">
        <v>45349</v>
      </c>
      <c r="G67" s="47">
        <v>45353</v>
      </c>
      <c r="H67" s="46" t="s">
        <v>496</v>
      </c>
      <c r="I67" s="52" t="s">
        <v>496</v>
      </c>
      <c r="J67" s="50" t="s">
        <v>554</v>
      </c>
      <c r="K67" s="51" t="s">
        <v>555</v>
      </c>
      <c r="L67" s="50" t="s">
        <v>241</v>
      </c>
    </row>
    <row r="68" spans="1:12" ht="15.75" hidden="1" x14ac:dyDescent="0.25">
      <c r="A68" s="45" t="s">
        <v>25</v>
      </c>
      <c r="B68" s="48" t="s">
        <v>13</v>
      </c>
      <c r="C68" s="45" t="s">
        <v>379</v>
      </c>
      <c r="D68" s="45" t="s">
        <v>481</v>
      </c>
      <c r="E68" s="49" t="s">
        <v>556</v>
      </c>
      <c r="F68" s="46">
        <v>45392</v>
      </c>
      <c r="G68" s="47">
        <v>45396</v>
      </c>
      <c r="H68" s="46" t="s">
        <v>496</v>
      </c>
      <c r="I68" s="52" t="s">
        <v>496</v>
      </c>
      <c r="J68" s="50" t="s">
        <v>241</v>
      </c>
      <c r="K68" s="50" t="s">
        <v>241</v>
      </c>
      <c r="L68" s="50" t="s">
        <v>241</v>
      </c>
    </row>
    <row r="69" spans="1:12" ht="15.75" hidden="1" x14ac:dyDescent="0.25">
      <c r="A69" s="45" t="s">
        <v>12</v>
      </c>
      <c r="B69" s="45" t="s">
        <v>20</v>
      </c>
      <c r="C69" s="45" t="s">
        <v>256</v>
      </c>
      <c r="D69" s="45" t="s">
        <v>407</v>
      </c>
      <c r="E69" s="49" t="s">
        <v>456</v>
      </c>
      <c r="F69" s="46">
        <v>45412</v>
      </c>
      <c r="G69" s="47">
        <v>45417</v>
      </c>
      <c r="H69" s="46" t="s">
        <v>496</v>
      </c>
      <c r="I69" s="52" t="s">
        <v>496</v>
      </c>
      <c r="J69" s="50" t="s">
        <v>241</v>
      </c>
      <c r="K69" s="50" t="s">
        <v>241</v>
      </c>
      <c r="L69" s="50" t="s">
        <v>241</v>
      </c>
    </row>
    <row r="70" spans="1:12" ht="15.75" hidden="1" x14ac:dyDescent="0.25">
      <c r="A70" s="45" t="s">
        <v>25</v>
      </c>
      <c r="B70" s="45" t="s">
        <v>13</v>
      </c>
      <c r="C70" s="45" t="s">
        <v>380</v>
      </c>
      <c r="D70" s="45" t="s">
        <v>95</v>
      </c>
      <c r="E70" s="49" t="s">
        <v>557</v>
      </c>
      <c r="F70" s="46">
        <v>45266</v>
      </c>
      <c r="G70" s="47">
        <v>45270</v>
      </c>
      <c r="H70" s="46" t="s">
        <v>496</v>
      </c>
      <c r="I70" s="52" t="s">
        <v>496</v>
      </c>
      <c r="J70" s="50" t="s">
        <v>241</v>
      </c>
      <c r="K70" s="50" t="s">
        <v>241</v>
      </c>
      <c r="L70" s="50" t="s">
        <v>241</v>
      </c>
    </row>
    <row r="71" spans="1:12" ht="15.75" hidden="1" x14ac:dyDescent="0.25">
      <c r="A71" s="45" t="s">
        <v>394</v>
      </c>
      <c r="B71" s="45" t="s">
        <v>13</v>
      </c>
      <c r="C71" s="45" t="s">
        <v>381</v>
      </c>
      <c r="D71" s="45" t="s">
        <v>95</v>
      </c>
      <c r="E71" s="49" t="s">
        <v>558</v>
      </c>
      <c r="F71" s="46">
        <v>45384</v>
      </c>
      <c r="G71" s="47">
        <v>45388</v>
      </c>
      <c r="H71" s="46" t="s">
        <v>496</v>
      </c>
      <c r="I71" s="52" t="s">
        <v>496</v>
      </c>
      <c r="J71" s="50" t="s">
        <v>241</v>
      </c>
      <c r="K71" s="50" t="s">
        <v>241</v>
      </c>
      <c r="L71" s="50" t="s">
        <v>241</v>
      </c>
    </row>
    <row r="72" spans="1:12" ht="15.75" x14ac:dyDescent="0.25">
      <c r="A72" s="45" t="s">
        <v>43</v>
      </c>
      <c r="B72" s="45" t="s">
        <v>13</v>
      </c>
      <c r="C72" s="45" t="s">
        <v>193</v>
      </c>
      <c r="D72" s="45" t="s">
        <v>345</v>
      </c>
      <c r="E72" s="49" t="s">
        <v>559</v>
      </c>
      <c r="F72" s="46">
        <v>45360</v>
      </c>
      <c r="G72" s="47">
        <v>45366</v>
      </c>
      <c r="H72" s="46">
        <v>45361</v>
      </c>
      <c r="I72" s="57" t="s">
        <v>393</v>
      </c>
      <c r="J72" s="50" t="s">
        <v>59</v>
      </c>
      <c r="K72" s="51" t="s">
        <v>447</v>
      </c>
      <c r="L72" s="51" t="s">
        <v>194</v>
      </c>
    </row>
    <row r="73" spans="1:12" ht="15.75" x14ac:dyDescent="0.25">
      <c r="A73" s="45" t="s">
        <v>12</v>
      </c>
      <c r="B73" s="45" t="s">
        <v>13</v>
      </c>
      <c r="C73" s="45" t="s">
        <v>824</v>
      </c>
      <c r="D73" s="45" t="s">
        <v>22</v>
      </c>
      <c r="E73" s="49" t="s">
        <v>560</v>
      </c>
      <c r="F73" s="46">
        <v>45237</v>
      </c>
      <c r="G73" s="47">
        <v>45241</v>
      </c>
      <c r="H73" s="46">
        <v>45261</v>
      </c>
      <c r="I73" s="57" t="s">
        <v>393</v>
      </c>
      <c r="J73" s="50" t="s">
        <v>108</v>
      </c>
      <c r="K73" s="51" t="s">
        <v>355</v>
      </c>
      <c r="L73" s="51" t="s">
        <v>109</v>
      </c>
    </row>
    <row r="74" spans="1:12" ht="15.75" x14ac:dyDescent="0.25">
      <c r="A74" s="45" t="s">
        <v>394</v>
      </c>
      <c r="B74" s="45" t="s">
        <v>13</v>
      </c>
      <c r="C74" s="45" t="s">
        <v>820</v>
      </c>
      <c r="D74" s="45" t="s">
        <v>347</v>
      </c>
      <c r="E74" s="49" t="s">
        <v>421</v>
      </c>
      <c r="F74" s="46">
        <v>45369</v>
      </c>
      <c r="G74" s="47">
        <v>45374</v>
      </c>
      <c r="H74" s="46">
        <v>45369</v>
      </c>
      <c r="I74" s="57" t="s">
        <v>393</v>
      </c>
      <c r="J74" s="50" t="s">
        <v>229</v>
      </c>
      <c r="K74" s="51" t="s">
        <v>561</v>
      </c>
      <c r="L74" s="51" t="s">
        <v>230</v>
      </c>
    </row>
    <row r="75" spans="1:12" ht="15.75" x14ac:dyDescent="0.25">
      <c r="A75" s="45" t="s">
        <v>394</v>
      </c>
      <c r="B75" s="45" t="s">
        <v>13</v>
      </c>
      <c r="C75" s="45" t="s">
        <v>261</v>
      </c>
      <c r="D75" s="45" t="s">
        <v>161</v>
      </c>
      <c r="E75" s="49" t="s">
        <v>421</v>
      </c>
      <c r="F75" s="46">
        <v>45202</v>
      </c>
      <c r="G75" s="47">
        <v>45206</v>
      </c>
      <c r="H75" s="46">
        <v>45234</v>
      </c>
      <c r="I75" s="57" t="s">
        <v>393</v>
      </c>
      <c r="J75" s="50" t="s">
        <v>561</v>
      </c>
      <c r="K75" s="51" t="s">
        <v>561</v>
      </c>
      <c r="L75" s="51" t="s">
        <v>562</v>
      </c>
    </row>
    <row r="76" spans="1:12" ht="15.75" x14ac:dyDescent="0.25">
      <c r="A76" s="45" t="s">
        <v>52</v>
      </c>
      <c r="B76" s="45" t="s">
        <v>20</v>
      </c>
      <c r="C76" s="45" t="s">
        <v>821</v>
      </c>
      <c r="D76" s="45" t="s">
        <v>161</v>
      </c>
      <c r="E76" s="49" t="s">
        <v>563</v>
      </c>
      <c r="F76" s="46">
        <v>45383</v>
      </c>
      <c r="G76" s="47">
        <v>45388</v>
      </c>
      <c r="H76" s="46">
        <v>45384</v>
      </c>
      <c r="I76" s="65" t="s">
        <v>393</v>
      </c>
      <c r="J76" s="50" t="s">
        <v>272</v>
      </c>
      <c r="K76" s="51" t="s">
        <v>564</v>
      </c>
      <c r="L76" s="51" t="s">
        <v>50</v>
      </c>
    </row>
    <row r="77" spans="1:12" ht="15.75" x14ac:dyDescent="0.25">
      <c r="A77" s="45" t="s">
        <v>12</v>
      </c>
      <c r="B77" s="48" t="s">
        <v>20</v>
      </c>
      <c r="C77" s="45" t="s">
        <v>822</v>
      </c>
      <c r="D77" s="45" t="s">
        <v>104</v>
      </c>
      <c r="E77" s="49" t="s">
        <v>565</v>
      </c>
      <c r="F77" s="46">
        <v>45365</v>
      </c>
      <c r="G77" s="47">
        <v>45374</v>
      </c>
      <c r="H77" s="46">
        <v>45372</v>
      </c>
      <c r="I77" s="57" t="s">
        <v>393</v>
      </c>
      <c r="J77" s="50" t="s">
        <v>83</v>
      </c>
      <c r="K77" s="51" t="s">
        <v>566</v>
      </c>
      <c r="L77" s="51" t="s">
        <v>567</v>
      </c>
    </row>
    <row r="78" spans="1:12" ht="15.75" x14ac:dyDescent="0.25">
      <c r="A78" s="45" t="s">
        <v>12</v>
      </c>
      <c r="B78" s="45" t="s">
        <v>20</v>
      </c>
      <c r="C78" s="45" t="s">
        <v>822</v>
      </c>
      <c r="D78" s="45" t="s">
        <v>373</v>
      </c>
      <c r="E78" s="49" t="s">
        <v>568</v>
      </c>
      <c r="F78" s="46">
        <v>45246</v>
      </c>
      <c r="G78" s="47">
        <v>45255</v>
      </c>
      <c r="H78" s="47">
        <v>45254</v>
      </c>
      <c r="I78" s="57" t="s">
        <v>393</v>
      </c>
      <c r="J78" s="50" t="s">
        <v>83</v>
      </c>
      <c r="K78" s="51" t="s">
        <v>566</v>
      </c>
      <c r="L78" s="51" t="s">
        <v>84</v>
      </c>
    </row>
    <row r="79" spans="1:12" ht="15.75" x14ac:dyDescent="0.25">
      <c r="A79" s="45" t="s">
        <v>394</v>
      </c>
      <c r="B79" s="45" t="s">
        <v>13</v>
      </c>
      <c r="C79" s="45" t="s">
        <v>823</v>
      </c>
      <c r="D79" s="45" t="s">
        <v>336</v>
      </c>
      <c r="E79" s="49" t="s">
        <v>565</v>
      </c>
      <c r="F79" s="46">
        <v>45232</v>
      </c>
      <c r="G79" s="47">
        <v>45241</v>
      </c>
      <c r="H79" s="46">
        <v>45248</v>
      </c>
      <c r="I79" s="57" t="s">
        <v>393</v>
      </c>
      <c r="J79" s="50" t="s">
        <v>75</v>
      </c>
      <c r="K79" s="51" t="s">
        <v>75</v>
      </c>
      <c r="L79" s="51" t="s">
        <v>209</v>
      </c>
    </row>
    <row r="80" spans="1:12" ht="15.75" x14ac:dyDescent="0.25">
      <c r="A80" s="45" t="s">
        <v>12</v>
      </c>
      <c r="B80" s="45" t="s">
        <v>13</v>
      </c>
      <c r="C80" s="45" t="s">
        <v>569</v>
      </c>
      <c r="D80" s="45" t="s">
        <v>95</v>
      </c>
      <c r="E80" s="49" t="s">
        <v>427</v>
      </c>
      <c r="F80" s="46">
        <v>45356</v>
      </c>
      <c r="G80" s="47">
        <v>45359</v>
      </c>
      <c r="H80" s="46">
        <v>45359</v>
      </c>
      <c r="I80" s="57" t="s">
        <v>393</v>
      </c>
      <c r="J80" s="50" t="s">
        <v>570</v>
      </c>
      <c r="K80" s="51" t="s">
        <v>571</v>
      </c>
      <c r="L80" s="51" t="s">
        <v>572</v>
      </c>
    </row>
    <row r="81" spans="1:12" ht="15.75" x14ac:dyDescent="0.25">
      <c r="A81" s="45" t="s">
        <v>12</v>
      </c>
      <c r="B81" s="45" t="s">
        <v>13</v>
      </c>
      <c r="C81" s="45" t="s">
        <v>382</v>
      </c>
      <c r="D81" s="45" t="s">
        <v>420</v>
      </c>
      <c r="E81" s="49" t="s">
        <v>427</v>
      </c>
      <c r="F81" s="46">
        <v>45391</v>
      </c>
      <c r="G81" s="47">
        <v>45395</v>
      </c>
      <c r="H81" s="46">
        <v>45395</v>
      </c>
      <c r="I81" s="65" t="s">
        <v>393</v>
      </c>
      <c r="J81" s="50" t="s">
        <v>573</v>
      </c>
      <c r="K81" s="51" t="s">
        <v>574</v>
      </c>
      <c r="L81" s="51" t="s">
        <v>575</v>
      </c>
    </row>
    <row r="82" spans="1:12" ht="15.75" x14ac:dyDescent="0.25">
      <c r="A82" s="45" t="s">
        <v>399</v>
      </c>
      <c r="B82" s="45" t="s">
        <v>13</v>
      </c>
      <c r="C82" s="45" t="s">
        <v>34</v>
      </c>
      <c r="D82" s="45" t="s">
        <v>68</v>
      </c>
      <c r="E82" s="49" t="s">
        <v>503</v>
      </c>
      <c r="F82" s="46">
        <v>45183</v>
      </c>
      <c r="G82" s="47">
        <v>45185</v>
      </c>
      <c r="H82" s="46">
        <v>45184</v>
      </c>
      <c r="I82" s="58" t="s">
        <v>393</v>
      </c>
      <c r="J82" s="50" t="s">
        <v>504</v>
      </c>
      <c r="K82" s="51" t="s">
        <v>278</v>
      </c>
      <c r="L82" s="51" t="s">
        <v>37</v>
      </c>
    </row>
    <row r="83" spans="1:12" ht="15.75" x14ac:dyDescent="0.25">
      <c r="A83" s="45" t="s">
        <v>399</v>
      </c>
      <c r="B83" s="45" t="s">
        <v>20</v>
      </c>
      <c r="C83" s="45" t="s">
        <v>211</v>
      </c>
      <c r="D83" s="45" t="s">
        <v>235</v>
      </c>
      <c r="E83" s="49" t="s">
        <v>578</v>
      </c>
      <c r="F83" s="46">
        <v>45356</v>
      </c>
      <c r="G83" s="47">
        <v>45360</v>
      </c>
      <c r="H83" s="46">
        <v>45357</v>
      </c>
      <c r="I83" s="57" t="s">
        <v>393</v>
      </c>
      <c r="J83" s="50" t="s">
        <v>213</v>
      </c>
      <c r="K83" s="51" t="s">
        <v>214</v>
      </c>
      <c r="L83" s="51" t="s">
        <v>155</v>
      </c>
    </row>
    <row r="84" spans="1:12" ht="15.75" x14ac:dyDescent="0.25">
      <c r="A84" s="45" t="s">
        <v>399</v>
      </c>
      <c r="B84" s="45" t="s">
        <v>20</v>
      </c>
      <c r="C84" s="45" t="s">
        <v>127</v>
      </c>
      <c r="D84" s="45" t="s">
        <v>371</v>
      </c>
      <c r="E84" s="49" t="s">
        <v>579</v>
      </c>
      <c r="F84" s="46">
        <v>45258</v>
      </c>
      <c r="G84" s="47">
        <v>45261</v>
      </c>
      <c r="H84" s="46">
        <v>45261</v>
      </c>
      <c r="I84" s="57" t="s">
        <v>393</v>
      </c>
      <c r="J84" s="50" t="s">
        <v>504</v>
      </c>
      <c r="K84" s="51" t="s">
        <v>128</v>
      </c>
      <c r="L84" s="51" t="s">
        <v>129</v>
      </c>
    </row>
    <row r="85" spans="1:12" ht="15.75" x14ac:dyDescent="0.25">
      <c r="A85" s="45" t="s">
        <v>52</v>
      </c>
      <c r="B85" s="45" t="s">
        <v>20</v>
      </c>
      <c r="C85" s="45" t="s">
        <v>828</v>
      </c>
      <c r="D85" s="45" t="s">
        <v>48</v>
      </c>
      <c r="E85" s="49" t="s">
        <v>580</v>
      </c>
      <c r="F85" s="46">
        <v>45248</v>
      </c>
      <c r="G85" s="47">
        <v>45255</v>
      </c>
      <c r="H85" s="46">
        <v>45253</v>
      </c>
      <c r="I85" s="57" t="s">
        <v>393</v>
      </c>
      <c r="J85" s="50" t="s">
        <v>272</v>
      </c>
      <c r="K85" s="51" t="s">
        <v>561</v>
      </c>
      <c r="L85" s="51" t="s">
        <v>562</v>
      </c>
    </row>
    <row r="86" spans="1:12" ht="15.75" x14ac:dyDescent="0.25">
      <c r="A86" s="45" t="s">
        <v>12</v>
      </c>
      <c r="B86" s="45" t="s">
        <v>13</v>
      </c>
      <c r="C86" s="45" t="s">
        <v>276</v>
      </c>
      <c r="D86" s="45" t="s">
        <v>22</v>
      </c>
      <c r="E86" s="49" t="s">
        <v>565</v>
      </c>
      <c r="F86" s="46">
        <v>45358</v>
      </c>
      <c r="G86" s="47">
        <v>45360</v>
      </c>
      <c r="H86" s="46">
        <v>45360</v>
      </c>
      <c r="I86" s="57" t="s">
        <v>393</v>
      </c>
      <c r="J86" s="50" t="s">
        <v>581</v>
      </c>
      <c r="K86" s="51" t="s">
        <v>582</v>
      </c>
      <c r="L86" s="51" t="s">
        <v>582</v>
      </c>
    </row>
    <row r="87" spans="1:12" ht="15.75" x14ac:dyDescent="0.25">
      <c r="A87" s="45" t="s">
        <v>394</v>
      </c>
      <c r="B87" s="45" t="s">
        <v>20</v>
      </c>
      <c r="C87" s="45" t="s">
        <v>322</v>
      </c>
      <c r="D87" s="45" t="s">
        <v>259</v>
      </c>
      <c r="E87" s="49" t="s">
        <v>421</v>
      </c>
      <c r="F87" s="46">
        <v>45418</v>
      </c>
      <c r="G87" s="47">
        <v>45423</v>
      </c>
      <c r="H87" s="46">
        <v>45419</v>
      </c>
      <c r="I87" s="58" t="s">
        <v>393</v>
      </c>
      <c r="J87" s="50" t="s">
        <v>424</v>
      </c>
      <c r="K87" s="51" t="s">
        <v>561</v>
      </c>
      <c r="L87" s="51" t="s">
        <v>562</v>
      </c>
    </row>
    <row r="88" spans="1:12" ht="15.75" x14ac:dyDescent="0.25">
      <c r="A88" s="45" t="s">
        <v>43</v>
      </c>
      <c r="B88" s="45" t="s">
        <v>20</v>
      </c>
      <c r="C88" s="45" t="s">
        <v>220</v>
      </c>
      <c r="D88" s="45" t="s">
        <v>583</v>
      </c>
      <c r="E88" s="49" t="s">
        <v>584</v>
      </c>
      <c r="F88" s="46">
        <v>45386</v>
      </c>
      <c r="G88" s="46">
        <v>45395</v>
      </c>
      <c r="H88" s="46">
        <v>45391</v>
      </c>
      <c r="I88" s="65" t="s">
        <v>393</v>
      </c>
      <c r="J88" s="50" t="s">
        <v>222</v>
      </c>
      <c r="K88" s="51" t="s">
        <v>355</v>
      </c>
      <c r="L88" s="51" t="s">
        <v>223</v>
      </c>
    </row>
    <row r="89" spans="1:12" ht="15.75" x14ac:dyDescent="0.25">
      <c r="A89" s="45" t="s">
        <v>394</v>
      </c>
      <c r="B89" s="45" t="s">
        <v>20</v>
      </c>
      <c r="C89" s="45" t="s">
        <v>831</v>
      </c>
      <c r="D89" s="45" t="s">
        <v>369</v>
      </c>
      <c r="E89" s="49" t="s">
        <v>585</v>
      </c>
      <c r="F89" s="46">
        <v>45333</v>
      </c>
      <c r="G89" s="46">
        <v>45339</v>
      </c>
      <c r="H89" s="46">
        <v>45335</v>
      </c>
      <c r="I89" s="57" t="s">
        <v>393</v>
      </c>
      <c r="J89" s="50" t="s">
        <v>40</v>
      </c>
      <c r="K89" s="51" t="s">
        <v>586</v>
      </c>
      <c r="L89" s="51" t="s">
        <v>158</v>
      </c>
    </row>
    <row r="90" spans="1:12" ht="15.75" x14ac:dyDescent="0.25">
      <c r="A90" s="45" t="s">
        <v>25</v>
      </c>
      <c r="B90" s="45" t="s">
        <v>13</v>
      </c>
      <c r="C90" s="45" t="s">
        <v>383</v>
      </c>
      <c r="D90" s="45" t="s">
        <v>546</v>
      </c>
      <c r="E90" s="49" t="s">
        <v>587</v>
      </c>
      <c r="F90" s="46">
        <v>45238</v>
      </c>
      <c r="G90" s="46">
        <v>45241</v>
      </c>
      <c r="H90" s="46">
        <v>45262</v>
      </c>
      <c r="I90" s="57" t="s">
        <v>393</v>
      </c>
      <c r="J90" s="50" t="s">
        <v>588</v>
      </c>
      <c r="K90" s="51" t="s">
        <v>588</v>
      </c>
      <c r="L90" s="51" t="s">
        <v>288</v>
      </c>
    </row>
    <row r="91" spans="1:12" ht="15.75" x14ac:dyDescent="0.25">
      <c r="A91" s="45" t="s">
        <v>25</v>
      </c>
      <c r="B91" s="48" t="s">
        <v>13</v>
      </c>
      <c r="C91" s="45" t="s">
        <v>326</v>
      </c>
      <c r="D91" s="45" t="s">
        <v>589</v>
      </c>
      <c r="E91" s="49" t="s">
        <v>587</v>
      </c>
      <c r="F91" s="46">
        <v>45335</v>
      </c>
      <c r="G91" s="47">
        <v>45339</v>
      </c>
      <c r="H91" s="46">
        <v>45339</v>
      </c>
      <c r="I91" s="57" t="s">
        <v>393</v>
      </c>
      <c r="J91" s="50" t="s">
        <v>327</v>
      </c>
      <c r="K91" s="51" t="s">
        <v>590</v>
      </c>
      <c r="L91" s="51" t="s">
        <v>328</v>
      </c>
    </row>
    <row r="92" spans="1:12" ht="15.75" x14ac:dyDescent="0.25">
      <c r="A92" s="45" t="s">
        <v>399</v>
      </c>
      <c r="B92" s="45" t="s">
        <v>13</v>
      </c>
      <c r="C92" s="45" t="s">
        <v>94</v>
      </c>
      <c r="D92" s="45" t="s">
        <v>414</v>
      </c>
      <c r="E92" s="49" t="s">
        <v>578</v>
      </c>
      <c r="F92" s="46">
        <v>45251</v>
      </c>
      <c r="G92" s="47">
        <v>45255</v>
      </c>
      <c r="H92" s="46">
        <v>45339</v>
      </c>
      <c r="I92" s="57" t="s">
        <v>393</v>
      </c>
      <c r="J92" s="50" t="s">
        <v>96</v>
      </c>
      <c r="K92" s="51" t="s">
        <v>98</v>
      </c>
      <c r="L92" s="51" t="s">
        <v>97</v>
      </c>
    </row>
    <row r="93" spans="1:12" ht="15.75" x14ac:dyDescent="0.25">
      <c r="A93" s="45" t="s">
        <v>12</v>
      </c>
      <c r="B93" s="45" t="s">
        <v>20</v>
      </c>
      <c r="C93" s="45" t="s">
        <v>30</v>
      </c>
      <c r="D93" s="45" t="s">
        <v>262</v>
      </c>
      <c r="E93" s="49" t="s">
        <v>456</v>
      </c>
      <c r="F93" s="46">
        <v>45405</v>
      </c>
      <c r="G93" s="47">
        <v>45409</v>
      </c>
      <c r="H93" s="46">
        <v>45406</v>
      </c>
      <c r="I93" s="58" t="s">
        <v>393</v>
      </c>
      <c r="J93" s="50" t="s">
        <v>31</v>
      </c>
      <c r="K93" s="51" t="s">
        <v>33</v>
      </c>
      <c r="L93" s="51" t="s">
        <v>32</v>
      </c>
    </row>
    <row r="94" spans="1:12" ht="15.75" x14ac:dyDescent="0.25">
      <c r="A94" s="45" t="s">
        <v>394</v>
      </c>
      <c r="B94" s="45" t="s">
        <v>20</v>
      </c>
      <c r="C94" s="45" t="s">
        <v>833</v>
      </c>
      <c r="D94" s="45" t="s">
        <v>228</v>
      </c>
      <c r="E94" s="49" t="s">
        <v>591</v>
      </c>
      <c r="F94" s="46">
        <v>45390</v>
      </c>
      <c r="G94" s="47">
        <v>45395</v>
      </c>
      <c r="H94" s="46">
        <v>45390</v>
      </c>
      <c r="I94" s="65" t="s">
        <v>393</v>
      </c>
      <c r="J94" s="50" t="s">
        <v>118</v>
      </c>
      <c r="K94" s="51" t="s">
        <v>445</v>
      </c>
      <c r="L94" s="51" t="s">
        <v>184</v>
      </c>
    </row>
    <row r="95" spans="1:12" ht="15.75" x14ac:dyDescent="0.25">
      <c r="A95" s="45" t="s">
        <v>43</v>
      </c>
      <c r="B95" s="45" t="s">
        <v>20</v>
      </c>
      <c r="C95" s="45" t="s">
        <v>834</v>
      </c>
      <c r="D95" s="45" t="s">
        <v>48</v>
      </c>
      <c r="E95" s="49" t="s">
        <v>592</v>
      </c>
      <c r="F95" s="46">
        <v>45405</v>
      </c>
      <c r="G95" s="47">
        <v>45410</v>
      </c>
      <c r="H95" s="46">
        <v>45410</v>
      </c>
      <c r="I95" s="58" t="s">
        <v>393</v>
      </c>
      <c r="J95" s="62" t="s">
        <v>433</v>
      </c>
      <c r="K95" s="63" t="s">
        <v>355</v>
      </c>
      <c r="L95" s="51" t="s">
        <v>177</v>
      </c>
    </row>
    <row r="96" spans="1:12" ht="15.75" x14ac:dyDescent="0.25">
      <c r="A96" s="45" t="s">
        <v>52</v>
      </c>
      <c r="B96" s="45" t="s">
        <v>20</v>
      </c>
      <c r="C96" s="45" t="s">
        <v>835</v>
      </c>
      <c r="D96" s="45" t="s">
        <v>161</v>
      </c>
      <c r="E96" s="49" t="s">
        <v>593</v>
      </c>
      <c r="F96" s="46">
        <v>45384</v>
      </c>
      <c r="G96" s="47">
        <v>45388</v>
      </c>
      <c r="H96" s="46">
        <v>45385</v>
      </c>
      <c r="I96" s="65" t="s">
        <v>393</v>
      </c>
      <c r="J96" s="50" t="s">
        <v>111</v>
      </c>
      <c r="K96" s="51" t="s">
        <v>594</v>
      </c>
      <c r="L96" s="51" t="s">
        <v>595</v>
      </c>
    </row>
    <row r="97" spans="1:14" ht="15.75" x14ac:dyDescent="0.25">
      <c r="A97" s="45" t="s">
        <v>12</v>
      </c>
      <c r="B97" s="45" t="s">
        <v>20</v>
      </c>
      <c r="C97" s="45" t="s">
        <v>836</v>
      </c>
      <c r="D97" s="45" t="s">
        <v>22</v>
      </c>
      <c r="E97" s="49"/>
      <c r="F97" s="46">
        <v>45238</v>
      </c>
      <c r="G97" s="47">
        <v>45241</v>
      </c>
      <c r="H97" s="46">
        <v>45239</v>
      </c>
      <c r="I97" s="57" t="s">
        <v>393</v>
      </c>
      <c r="J97" s="50" t="s">
        <v>596</v>
      </c>
      <c r="K97" s="51" t="s">
        <v>93</v>
      </c>
      <c r="L97" s="51" t="s">
        <v>41</v>
      </c>
    </row>
    <row r="98" spans="1:14" ht="15.75" x14ac:dyDescent="0.25">
      <c r="A98" s="48" t="s">
        <v>43</v>
      </c>
      <c r="B98" s="45" t="s">
        <v>13</v>
      </c>
      <c r="C98" s="45" t="s">
        <v>837</v>
      </c>
      <c r="D98" s="45" t="s">
        <v>420</v>
      </c>
      <c r="E98" s="49" t="s">
        <v>427</v>
      </c>
      <c r="F98" s="46">
        <v>45245</v>
      </c>
      <c r="G98" s="47">
        <v>45249</v>
      </c>
      <c r="H98" s="46">
        <v>45339</v>
      </c>
      <c r="I98" s="57" t="s">
        <v>393</v>
      </c>
      <c r="J98" s="50" t="s">
        <v>597</v>
      </c>
      <c r="K98" s="51" t="s">
        <v>598</v>
      </c>
      <c r="L98" s="51" t="s">
        <v>125</v>
      </c>
    </row>
    <row r="99" spans="1:14" ht="15.75" x14ac:dyDescent="0.25">
      <c r="A99" s="45" t="s">
        <v>399</v>
      </c>
      <c r="B99" s="45" t="s">
        <v>13</v>
      </c>
      <c r="C99" s="45" t="s">
        <v>838</v>
      </c>
      <c r="D99" s="45" t="s">
        <v>599</v>
      </c>
      <c r="E99" s="49" t="s">
        <v>600</v>
      </c>
      <c r="F99" s="46">
        <v>45415</v>
      </c>
      <c r="G99" s="47">
        <v>45417</v>
      </c>
      <c r="H99" s="46">
        <v>45415</v>
      </c>
      <c r="I99" s="58" t="s">
        <v>393</v>
      </c>
      <c r="J99" s="50" t="s">
        <v>601</v>
      </c>
      <c r="K99" s="51" t="s">
        <v>602</v>
      </c>
      <c r="L99" s="51" t="s">
        <v>603</v>
      </c>
    </row>
    <row r="100" spans="1:14" ht="15.75" x14ac:dyDescent="0.25">
      <c r="A100" s="45" t="s">
        <v>399</v>
      </c>
      <c r="B100" s="45" t="s">
        <v>13</v>
      </c>
      <c r="C100" s="45" t="s">
        <v>386</v>
      </c>
      <c r="D100" s="45" t="s">
        <v>604</v>
      </c>
      <c r="E100" s="49" t="s">
        <v>605</v>
      </c>
      <c r="F100" s="46">
        <v>45275</v>
      </c>
      <c r="G100" s="47">
        <v>45277</v>
      </c>
      <c r="H100" s="46">
        <v>45339</v>
      </c>
      <c r="I100" s="57" t="s">
        <v>393</v>
      </c>
      <c r="J100" s="50" t="s">
        <v>504</v>
      </c>
      <c r="K100" s="51" t="s">
        <v>307</v>
      </c>
      <c r="L100" s="51" t="s">
        <v>606</v>
      </c>
    </row>
    <row r="101" spans="1:14" ht="15.75" x14ac:dyDescent="0.25">
      <c r="A101" s="45" t="s">
        <v>43</v>
      </c>
      <c r="B101" s="45" t="s">
        <v>20</v>
      </c>
      <c r="C101" s="45" t="s">
        <v>839</v>
      </c>
      <c r="D101" s="45" t="s">
        <v>430</v>
      </c>
      <c r="E101" s="49" t="s">
        <v>459</v>
      </c>
      <c r="F101" s="46">
        <v>45363</v>
      </c>
      <c r="G101" s="47">
        <v>45367</v>
      </c>
      <c r="H101" s="46">
        <v>45365</v>
      </c>
      <c r="I101" s="57" t="s">
        <v>393</v>
      </c>
      <c r="J101" s="50" t="s">
        <v>512</v>
      </c>
      <c r="K101" s="51" t="s">
        <v>607</v>
      </c>
      <c r="L101" s="51" t="s">
        <v>80</v>
      </c>
    </row>
    <row r="102" spans="1:14" ht="15.75" x14ac:dyDescent="0.25">
      <c r="A102" s="45" t="s">
        <v>52</v>
      </c>
      <c r="B102" s="45" t="s">
        <v>13</v>
      </c>
      <c r="C102" s="45" t="s">
        <v>53</v>
      </c>
      <c r="D102" s="45" t="s">
        <v>608</v>
      </c>
      <c r="E102" s="49" t="s">
        <v>563</v>
      </c>
      <c r="F102" s="46">
        <v>45246</v>
      </c>
      <c r="G102" s="46">
        <v>45248</v>
      </c>
      <c r="H102" s="46">
        <v>45339</v>
      </c>
      <c r="I102" s="57" t="s">
        <v>393</v>
      </c>
      <c r="J102" s="50" t="s">
        <v>55</v>
      </c>
      <c r="K102" s="51" t="s">
        <v>57</v>
      </c>
      <c r="L102" s="51" t="s">
        <v>56</v>
      </c>
    </row>
    <row r="103" spans="1:14" ht="15.75" x14ac:dyDescent="0.25">
      <c r="A103" s="45" t="s">
        <v>394</v>
      </c>
      <c r="B103" s="45" t="s">
        <v>20</v>
      </c>
      <c r="C103" s="45" t="s">
        <v>232</v>
      </c>
      <c r="D103" s="45" t="s">
        <v>610</v>
      </c>
      <c r="E103" s="49" t="s">
        <v>611</v>
      </c>
      <c r="F103" s="46">
        <v>45370</v>
      </c>
      <c r="G103" s="47">
        <v>45374</v>
      </c>
      <c r="H103" s="46">
        <v>45374</v>
      </c>
      <c r="I103" s="57" t="s">
        <v>393</v>
      </c>
      <c r="J103" s="50" t="s">
        <v>154</v>
      </c>
      <c r="K103" s="51" t="s">
        <v>154</v>
      </c>
      <c r="L103" s="51" t="s">
        <v>562</v>
      </c>
    </row>
    <row r="104" spans="1:14" ht="15.75" x14ac:dyDescent="0.25">
      <c r="A104" s="45" t="s">
        <v>394</v>
      </c>
      <c r="B104" s="45" t="s">
        <v>20</v>
      </c>
      <c r="C104" s="45" t="s">
        <v>168</v>
      </c>
      <c r="D104" s="45" t="s">
        <v>262</v>
      </c>
      <c r="E104" s="49" t="s">
        <v>421</v>
      </c>
      <c r="F104" s="46">
        <v>45334</v>
      </c>
      <c r="G104" s="47">
        <v>45339</v>
      </c>
      <c r="H104" s="47">
        <v>45336</v>
      </c>
      <c r="I104" s="57" t="s">
        <v>393</v>
      </c>
      <c r="J104" s="50" t="s">
        <v>424</v>
      </c>
      <c r="K104" s="51" t="s">
        <v>561</v>
      </c>
      <c r="L104" s="51" t="s">
        <v>562</v>
      </c>
    </row>
    <row r="105" spans="1:14" ht="15.75" x14ac:dyDescent="0.25">
      <c r="A105" s="45" t="s">
        <v>394</v>
      </c>
      <c r="B105" s="45" t="s">
        <v>20</v>
      </c>
      <c r="C105" s="45" t="s">
        <v>269</v>
      </c>
      <c r="D105" s="45" t="s">
        <v>95</v>
      </c>
      <c r="E105" s="49" t="s">
        <v>541</v>
      </c>
      <c r="F105" s="46">
        <v>45391</v>
      </c>
      <c r="G105" s="47">
        <v>45395</v>
      </c>
      <c r="H105" s="47">
        <v>45394</v>
      </c>
      <c r="I105" s="65" t="s">
        <v>393</v>
      </c>
      <c r="J105" s="51" t="s">
        <v>154</v>
      </c>
      <c r="K105" s="51" t="s">
        <v>612</v>
      </c>
      <c r="L105" s="51" t="s">
        <v>209</v>
      </c>
    </row>
    <row r="106" spans="1:14" ht="15.75" x14ac:dyDescent="0.25">
      <c r="A106" s="45" t="s">
        <v>43</v>
      </c>
      <c r="B106" s="45" t="s">
        <v>20</v>
      </c>
      <c r="C106" s="45" t="s">
        <v>186</v>
      </c>
      <c r="D106" s="45" t="s">
        <v>39</v>
      </c>
      <c r="E106" s="49" t="s">
        <v>552</v>
      </c>
      <c r="F106" s="46">
        <v>45334</v>
      </c>
      <c r="G106" s="47">
        <v>45339</v>
      </c>
      <c r="H106" s="47">
        <v>45337</v>
      </c>
      <c r="I106" s="57" t="s">
        <v>393</v>
      </c>
      <c r="J106" s="50" t="s">
        <v>504</v>
      </c>
      <c r="K106" s="51" t="s">
        <v>175</v>
      </c>
      <c r="L106" s="51" t="s">
        <v>80</v>
      </c>
    </row>
    <row r="107" spans="1:14" ht="15.75" x14ac:dyDescent="0.25">
      <c r="A107" s="45" t="s">
        <v>43</v>
      </c>
      <c r="B107" s="45" t="s">
        <v>13</v>
      </c>
      <c r="C107" s="45" t="s">
        <v>840</v>
      </c>
      <c r="D107" s="45" t="s">
        <v>178</v>
      </c>
      <c r="E107" s="49" t="s">
        <v>543</v>
      </c>
      <c r="F107" s="46">
        <v>45336</v>
      </c>
      <c r="G107" s="46">
        <v>45339</v>
      </c>
      <c r="H107" s="46">
        <v>45339</v>
      </c>
      <c r="I107" s="67" t="s">
        <v>393</v>
      </c>
      <c r="J107" s="50" t="s">
        <v>613</v>
      </c>
      <c r="K107" s="51" t="s">
        <v>139</v>
      </c>
      <c r="L107" s="51" t="s">
        <v>614</v>
      </c>
    </row>
    <row r="108" spans="1:14" ht="15.75" x14ac:dyDescent="0.25">
      <c r="A108" s="45" t="s">
        <v>52</v>
      </c>
      <c r="B108" s="45" t="s">
        <v>20</v>
      </c>
      <c r="C108" s="45" t="s">
        <v>172</v>
      </c>
      <c r="D108" s="45" t="s">
        <v>286</v>
      </c>
      <c r="E108" s="49" t="s">
        <v>494</v>
      </c>
      <c r="F108" s="46">
        <v>45332</v>
      </c>
      <c r="G108" s="47">
        <v>45339</v>
      </c>
      <c r="H108" s="46">
        <v>45334</v>
      </c>
      <c r="I108" s="67" t="s">
        <v>393</v>
      </c>
      <c r="J108" s="50" t="s">
        <v>319</v>
      </c>
      <c r="K108" s="51" t="s">
        <v>319</v>
      </c>
      <c r="L108" s="51" t="s">
        <v>174</v>
      </c>
    </row>
    <row r="109" spans="1:14" ht="15.75" x14ac:dyDescent="0.25">
      <c r="A109" s="45" t="s">
        <v>12</v>
      </c>
      <c r="B109" s="45" t="s">
        <v>13</v>
      </c>
      <c r="C109" s="45" t="s">
        <v>841</v>
      </c>
      <c r="D109" s="45" t="s">
        <v>350</v>
      </c>
      <c r="E109" s="49" t="s">
        <v>615</v>
      </c>
      <c r="F109" s="46">
        <v>45216</v>
      </c>
      <c r="G109" s="47">
        <v>45220</v>
      </c>
      <c r="H109" s="46">
        <v>45241</v>
      </c>
      <c r="I109" s="67" t="s">
        <v>393</v>
      </c>
      <c r="J109" s="50" t="s">
        <v>424</v>
      </c>
      <c r="K109" s="51" t="s">
        <v>616</v>
      </c>
      <c r="L109" s="51" t="s">
        <v>50</v>
      </c>
      <c r="N109">
        <v>16</v>
      </c>
    </row>
    <row r="110" spans="1:14" ht="15.75" x14ac:dyDescent="0.25">
      <c r="A110" s="45" t="s">
        <v>394</v>
      </c>
      <c r="B110" s="45" t="s">
        <v>13</v>
      </c>
      <c r="C110" s="45" t="s">
        <v>279</v>
      </c>
      <c r="D110" s="45" t="s">
        <v>259</v>
      </c>
      <c r="E110" s="49" t="s">
        <v>617</v>
      </c>
      <c r="F110" s="46">
        <v>45393</v>
      </c>
      <c r="G110" s="46">
        <v>45395</v>
      </c>
      <c r="H110" s="46">
        <v>45394</v>
      </c>
      <c r="I110" s="68" t="s">
        <v>393</v>
      </c>
      <c r="J110" s="51" t="s">
        <v>618</v>
      </c>
      <c r="K110" s="51" t="s">
        <v>619</v>
      </c>
      <c r="L110" s="51" t="s">
        <v>620</v>
      </c>
    </row>
    <row r="111" spans="1:14" ht="15.75" x14ac:dyDescent="0.25">
      <c r="A111" s="45" t="s">
        <v>43</v>
      </c>
      <c r="B111" s="45" t="s">
        <v>20</v>
      </c>
      <c r="C111" s="45" t="s">
        <v>842</v>
      </c>
      <c r="D111" s="45" t="s">
        <v>621</v>
      </c>
      <c r="E111" s="49" t="s">
        <v>622</v>
      </c>
      <c r="F111" s="46">
        <v>45196</v>
      </c>
      <c r="G111" s="47">
        <v>45198</v>
      </c>
      <c r="H111" s="46">
        <v>45197</v>
      </c>
      <c r="I111" s="67" t="s">
        <v>393</v>
      </c>
      <c r="J111" s="50" t="s">
        <v>623</v>
      </c>
      <c r="K111" s="51" t="s">
        <v>624</v>
      </c>
      <c r="L111" s="51" t="s">
        <v>625</v>
      </c>
    </row>
    <row r="112" spans="1:14" ht="15.75" x14ac:dyDescent="0.25">
      <c r="A112" s="45" t="s">
        <v>43</v>
      </c>
      <c r="B112" s="45" t="s">
        <v>20</v>
      </c>
      <c r="C112" s="45" t="s">
        <v>842</v>
      </c>
      <c r="D112" s="45" t="s">
        <v>626</v>
      </c>
      <c r="E112" s="49" t="s">
        <v>622</v>
      </c>
      <c r="F112" s="46">
        <v>45252</v>
      </c>
      <c r="G112" s="46">
        <v>45255</v>
      </c>
      <c r="H112" s="46">
        <v>45252</v>
      </c>
      <c r="I112" s="67" t="s">
        <v>393</v>
      </c>
      <c r="J112" s="50" t="s">
        <v>627</v>
      </c>
      <c r="K112" s="51" t="s">
        <v>628</v>
      </c>
      <c r="L112" s="51" t="s">
        <v>629</v>
      </c>
    </row>
    <row r="113" spans="1:13" ht="15.75" x14ac:dyDescent="0.25">
      <c r="A113" s="45" t="s">
        <v>43</v>
      </c>
      <c r="B113" s="45" t="s">
        <v>20</v>
      </c>
      <c r="C113" s="45" t="s">
        <v>842</v>
      </c>
      <c r="D113" s="45" t="s">
        <v>630</v>
      </c>
      <c r="E113" s="49" t="s">
        <v>622</v>
      </c>
      <c r="F113" s="46">
        <v>45357</v>
      </c>
      <c r="G113" s="47">
        <v>45360</v>
      </c>
      <c r="H113" s="46">
        <v>45359</v>
      </c>
      <c r="I113" s="67" t="s">
        <v>393</v>
      </c>
      <c r="J113" s="50" t="s">
        <v>631</v>
      </c>
      <c r="K113" s="51" t="s">
        <v>632</v>
      </c>
      <c r="L113" s="51" t="s">
        <v>633</v>
      </c>
    </row>
    <row r="114" spans="1:13" ht="47.25" x14ac:dyDescent="0.25">
      <c r="A114" s="45" t="s">
        <v>394</v>
      </c>
      <c r="B114" s="45" t="s">
        <v>13</v>
      </c>
      <c r="C114" s="45" t="s">
        <v>844</v>
      </c>
      <c r="D114" s="54" t="s">
        <v>634</v>
      </c>
      <c r="E114" s="49" t="s">
        <v>444</v>
      </c>
      <c r="F114" s="46">
        <v>45385</v>
      </c>
      <c r="G114" s="47">
        <v>45387</v>
      </c>
      <c r="H114" s="47">
        <v>45385</v>
      </c>
      <c r="I114" s="65" t="s">
        <v>393</v>
      </c>
      <c r="J114" s="50" t="s">
        <v>635</v>
      </c>
      <c r="K114" s="51" t="s">
        <v>635</v>
      </c>
      <c r="L114" s="51" t="s">
        <v>209</v>
      </c>
    </row>
    <row r="115" spans="1:13" ht="15.75" x14ac:dyDescent="0.25">
      <c r="A115" s="45" t="s">
        <v>12</v>
      </c>
      <c r="B115" s="45" t="s">
        <v>20</v>
      </c>
      <c r="C115" s="45" t="s">
        <v>38</v>
      </c>
      <c r="D115" s="45" t="s">
        <v>228</v>
      </c>
      <c r="E115" s="49" t="s">
        <v>456</v>
      </c>
      <c r="F115" s="46">
        <v>45189</v>
      </c>
      <c r="G115" s="46">
        <v>45192</v>
      </c>
      <c r="H115" s="46">
        <v>45191</v>
      </c>
      <c r="I115" s="57" t="s">
        <v>393</v>
      </c>
      <c r="J115" s="54" t="s">
        <v>40</v>
      </c>
      <c r="K115" s="45" t="s">
        <v>66</v>
      </c>
      <c r="L115" s="45" t="s">
        <v>41</v>
      </c>
      <c r="M115" s="61"/>
    </row>
    <row r="116" spans="1:13" ht="15.75" x14ac:dyDescent="0.25">
      <c r="A116" s="45" t="s">
        <v>399</v>
      </c>
      <c r="B116" s="45" t="s">
        <v>20</v>
      </c>
      <c r="C116" s="45" t="s">
        <v>845</v>
      </c>
      <c r="D116" s="45" t="s">
        <v>228</v>
      </c>
      <c r="E116" s="49" t="s">
        <v>515</v>
      </c>
      <c r="F116" s="46">
        <v>45412</v>
      </c>
      <c r="G116" s="46">
        <v>45416</v>
      </c>
      <c r="H116" s="46">
        <v>45415</v>
      </c>
      <c r="I116" s="58" t="s">
        <v>393</v>
      </c>
      <c r="J116" s="54" t="s">
        <v>636</v>
      </c>
      <c r="K116" s="45" t="s">
        <v>339</v>
      </c>
      <c r="L116" s="51" t="s">
        <v>338</v>
      </c>
      <c r="M116" s="61"/>
    </row>
    <row r="117" spans="1:13" ht="15.75" x14ac:dyDescent="0.25">
      <c r="A117" s="45" t="s">
        <v>399</v>
      </c>
      <c r="B117" s="45" t="s">
        <v>20</v>
      </c>
      <c r="C117" s="45" t="s">
        <v>847</v>
      </c>
      <c r="D117" s="45" t="s">
        <v>407</v>
      </c>
      <c r="E117" s="49" t="s">
        <v>579</v>
      </c>
      <c r="F117" s="46">
        <v>45411</v>
      </c>
      <c r="G117" s="46">
        <v>45416</v>
      </c>
      <c r="H117" s="47">
        <v>45416</v>
      </c>
      <c r="I117" s="58" t="s">
        <v>393</v>
      </c>
      <c r="J117" s="54" t="s">
        <v>341</v>
      </c>
      <c r="K117" s="45" t="s">
        <v>637</v>
      </c>
      <c r="L117" s="51" t="s">
        <v>268</v>
      </c>
    </row>
    <row r="118" spans="1:13" x14ac:dyDescent="0.2">
      <c r="I118" s="59"/>
    </row>
    <row r="119" spans="1:13" x14ac:dyDescent="0.2">
      <c r="I119" s="59"/>
    </row>
    <row r="120" spans="1:13" x14ac:dyDescent="0.2">
      <c r="I120" s="59"/>
    </row>
    <row r="121" spans="1:13" x14ac:dyDescent="0.2">
      <c r="I121" s="59"/>
    </row>
    <row r="122" spans="1:13" x14ac:dyDescent="0.2">
      <c r="I122" s="59"/>
    </row>
    <row r="123" spans="1:13" x14ac:dyDescent="0.2">
      <c r="I123" s="59"/>
    </row>
    <row r="124" spans="1:13" x14ac:dyDescent="0.2">
      <c r="I124" s="59"/>
    </row>
    <row r="125" spans="1:13" x14ac:dyDescent="0.2">
      <c r="I125" s="59"/>
    </row>
    <row r="126" spans="1:13" x14ac:dyDescent="0.2">
      <c r="I126" s="59"/>
    </row>
    <row r="127" spans="1:13" x14ac:dyDescent="0.2">
      <c r="I127" s="59"/>
    </row>
    <row r="128" spans="1:13" x14ac:dyDescent="0.2">
      <c r="I128" s="59"/>
    </row>
    <row r="129" spans="9:9" x14ac:dyDescent="0.2">
      <c r="I129" s="59"/>
    </row>
    <row r="130" spans="9:9" x14ac:dyDescent="0.2">
      <c r="I130" s="59"/>
    </row>
    <row r="131" spans="9:9" x14ac:dyDescent="0.2">
      <c r="I131" s="59"/>
    </row>
    <row r="132" spans="9:9" x14ac:dyDescent="0.2">
      <c r="I132" s="59"/>
    </row>
    <row r="133" spans="9:9" x14ac:dyDescent="0.2">
      <c r="I133" s="59"/>
    </row>
    <row r="134" spans="9:9" x14ac:dyDescent="0.2">
      <c r="I134" s="59"/>
    </row>
    <row r="135" spans="9:9" x14ac:dyDescent="0.2">
      <c r="I135" s="59"/>
    </row>
    <row r="136" spans="9:9" x14ac:dyDescent="0.2">
      <c r="I136" s="59"/>
    </row>
    <row r="137" spans="9:9" x14ac:dyDescent="0.2">
      <c r="I137" s="59"/>
    </row>
    <row r="138" spans="9:9" x14ac:dyDescent="0.2">
      <c r="I138" s="59"/>
    </row>
    <row r="139" spans="9:9" x14ac:dyDescent="0.2">
      <c r="I139" s="59"/>
    </row>
    <row r="140" spans="9:9" x14ac:dyDescent="0.2">
      <c r="I140" s="59"/>
    </row>
    <row r="141" spans="9:9" x14ac:dyDescent="0.2">
      <c r="I141" s="59"/>
    </row>
    <row r="142" spans="9:9" x14ac:dyDescent="0.2">
      <c r="I142" s="59"/>
    </row>
    <row r="143" spans="9:9" x14ac:dyDescent="0.2">
      <c r="I143" s="59"/>
    </row>
    <row r="144" spans="9:9" x14ac:dyDescent="0.2">
      <c r="I144" s="59"/>
    </row>
    <row r="145" spans="9:9" x14ac:dyDescent="0.2">
      <c r="I145" s="59"/>
    </row>
    <row r="146" spans="9:9" x14ac:dyDescent="0.2">
      <c r="I146" s="59"/>
    </row>
    <row r="147" spans="9:9" x14ac:dyDescent="0.2">
      <c r="I147" s="59"/>
    </row>
    <row r="148" spans="9:9" x14ac:dyDescent="0.2">
      <c r="I148" s="59"/>
    </row>
    <row r="149" spans="9:9" x14ac:dyDescent="0.2">
      <c r="I149" s="59"/>
    </row>
    <row r="150" spans="9:9" x14ac:dyDescent="0.2">
      <c r="I150" s="59"/>
    </row>
    <row r="151" spans="9:9" x14ac:dyDescent="0.2">
      <c r="I151" s="59"/>
    </row>
    <row r="152" spans="9:9" x14ac:dyDescent="0.2">
      <c r="I152" s="59"/>
    </row>
    <row r="153" spans="9:9" x14ac:dyDescent="0.2">
      <c r="I153" s="59"/>
    </row>
    <row r="154" spans="9:9" x14ac:dyDescent="0.2">
      <c r="I154" s="59"/>
    </row>
    <row r="155" spans="9:9" x14ac:dyDescent="0.2">
      <c r="I155" s="59"/>
    </row>
    <row r="156" spans="9:9" x14ac:dyDescent="0.2">
      <c r="I156" s="59"/>
    </row>
    <row r="157" spans="9:9" x14ac:dyDescent="0.2">
      <c r="I157" s="59"/>
    </row>
    <row r="158" spans="9:9" x14ac:dyDescent="0.2">
      <c r="I158" s="59"/>
    </row>
    <row r="159" spans="9:9" x14ac:dyDescent="0.2">
      <c r="I159" s="59"/>
    </row>
    <row r="160" spans="9:9" x14ac:dyDescent="0.2">
      <c r="I160" s="59"/>
    </row>
    <row r="161" spans="9:9" x14ac:dyDescent="0.2">
      <c r="I161" s="59"/>
    </row>
    <row r="162" spans="9:9" x14ac:dyDescent="0.2">
      <c r="I162" s="59"/>
    </row>
    <row r="163" spans="9:9" x14ac:dyDescent="0.2">
      <c r="I163" s="59"/>
    </row>
    <row r="164" spans="9:9" x14ac:dyDescent="0.2">
      <c r="I164" s="59"/>
    </row>
    <row r="165" spans="9:9" x14ac:dyDescent="0.2">
      <c r="I165" s="59"/>
    </row>
    <row r="166" spans="9:9" x14ac:dyDescent="0.2">
      <c r="I166" s="59"/>
    </row>
    <row r="167" spans="9:9" x14ac:dyDescent="0.2">
      <c r="I167" s="59"/>
    </row>
    <row r="168" spans="9:9" x14ac:dyDescent="0.2">
      <c r="I168" s="59"/>
    </row>
    <row r="169" spans="9:9" x14ac:dyDescent="0.2">
      <c r="I169" s="59"/>
    </row>
    <row r="170" spans="9:9" x14ac:dyDescent="0.2">
      <c r="I170" s="59"/>
    </row>
    <row r="171" spans="9:9" x14ac:dyDescent="0.2">
      <c r="I171" s="59"/>
    </row>
    <row r="172" spans="9:9" x14ac:dyDescent="0.2">
      <c r="I172" s="59"/>
    </row>
    <row r="173" spans="9:9" x14ac:dyDescent="0.2">
      <c r="I173" s="59"/>
    </row>
    <row r="174" spans="9:9" x14ac:dyDescent="0.2">
      <c r="I174" s="59"/>
    </row>
    <row r="175" spans="9:9" x14ac:dyDescent="0.2">
      <c r="I175" s="59"/>
    </row>
    <row r="176" spans="9:9" x14ac:dyDescent="0.2">
      <c r="I176" s="59"/>
    </row>
    <row r="177" spans="9:9" x14ac:dyDescent="0.2">
      <c r="I177" s="59"/>
    </row>
    <row r="178" spans="9:9" x14ac:dyDescent="0.2">
      <c r="I178" s="59"/>
    </row>
    <row r="179" spans="9:9" x14ac:dyDescent="0.2">
      <c r="I179" s="59"/>
    </row>
    <row r="180" spans="9:9" x14ac:dyDescent="0.2">
      <c r="I180" s="59"/>
    </row>
    <row r="181" spans="9:9" x14ac:dyDescent="0.2">
      <c r="I181" s="59"/>
    </row>
    <row r="182" spans="9:9" x14ac:dyDescent="0.2">
      <c r="I182" s="59"/>
    </row>
    <row r="183" spans="9:9" x14ac:dyDescent="0.2">
      <c r="I183" s="59"/>
    </row>
    <row r="184" spans="9:9" x14ac:dyDescent="0.2">
      <c r="I184" s="59"/>
    </row>
    <row r="185" spans="9:9" x14ac:dyDescent="0.2">
      <c r="I185" s="59"/>
    </row>
    <row r="186" spans="9:9" x14ac:dyDescent="0.2">
      <c r="I186" s="59"/>
    </row>
    <row r="187" spans="9:9" x14ac:dyDescent="0.2">
      <c r="I187" s="59"/>
    </row>
    <row r="188" spans="9:9" x14ac:dyDescent="0.2">
      <c r="I188" s="59"/>
    </row>
    <row r="189" spans="9:9" x14ac:dyDescent="0.2">
      <c r="I189" s="59"/>
    </row>
    <row r="190" spans="9:9" x14ac:dyDescent="0.2">
      <c r="I190" s="59"/>
    </row>
    <row r="191" spans="9:9" x14ac:dyDescent="0.2">
      <c r="I191" s="59"/>
    </row>
    <row r="192" spans="9:9" x14ac:dyDescent="0.2">
      <c r="I192" s="59"/>
    </row>
    <row r="193" spans="9:9" x14ac:dyDescent="0.2">
      <c r="I193" s="59"/>
    </row>
    <row r="194" spans="9:9" x14ac:dyDescent="0.2">
      <c r="I194" s="59"/>
    </row>
    <row r="195" spans="9:9" x14ac:dyDescent="0.2">
      <c r="I195" s="59"/>
    </row>
    <row r="196" spans="9:9" x14ac:dyDescent="0.2">
      <c r="I196" s="59"/>
    </row>
    <row r="197" spans="9:9" x14ac:dyDescent="0.2">
      <c r="I197" s="59"/>
    </row>
    <row r="198" spans="9:9" x14ac:dyDescent="0.2">
      <c r="I198" s="59"/>
    </row>
    <row r="199" spans="9:9" x14ac:dyDescent="0.2">
      <c r="I199" s="59"/>
    </row>
    <row r="200" spans="9:9" x14ac:dyDescent="0.2">
      <c r="I200" s="59"/>
    </row>
    <row r="201" spans="9:9" x14ac:dyDescent="0.2">
      <c r="I201" s="59"/>
    </row>
    <row r="202" spans="9:9" x14ac:dyDescent="0.2">
      <c r="I202" s="59"/>
    </row>
    <row r="203" spans="9:9" x14ac:dyDescent="0.2">
      <c r="I203" s="59"/>
    </row>
    <row r="204" spans="9:9" x14ac:dyDescent="0.2">
      <c r="I204" s="59"/>
    </row>
    <row r="205" spans="9:9" x14ac:dyDescent="0.2">
      <c r="I205" s="59"/>
    </row>
    <row r="206" spans="9:9" x14ac:dyDescent="0.2">
      <c r="I206" s="59"/>
    </row>
    <row r="207" spans="9:9" x14ac:dyDescent="0.2">
      <c r="I207" s="59"/>
    </row>
    <row r="208" spans="9:9" x14ac:dyDescent="0.2">
      <c r="I208" s="59"/>
    </row>
    <row r="209" spans="9:9" x14ac:dyDescent="0.2">
      <c r="I209" s="59"/>
    </row>
    <row r="210" spans="9:9" x14ac:dyDescent="0.2">
      <c r="I210" s="59"/>
    </row>
    <row r="211" spans="9:9" x14ac:dyDescent="0.2">
      <c r="I211" s="59"/>
    </row>
    <row r="212" spans="9:9" x14ac:dyDescent="0.2">
      <c r="I212" s="59"/>
    </row>
    <row r="213" spans="9:9" x14ac:dyDescent="0.2">
      <c r="I213" s="59"/>
    </row>
    <row r="214" spans="9:9" x14ac:dyDescent="0.2">
      <c r="I214" s="59"/>
    </row>
    <row r="215" spans="9:9" x14ac:dyDescent="0.2">
      <c r="I215" s="59"/>
    </row>
    <row r="216" spans="9:9" x14ac:dyDescent="0.2">
      <c r="I216" s="59"/>
    </row>
    <row r="217" spans="9:9" x14ac:dyDescent="0.2">
      <c r="I217" s="59"/>
    </row>
    <row r="218" spans="9:9" x14ac:dyDescent="0.2">
      <c r="I218" s="59"/>
    </row>
    <row r="219" spans="9:9" x14ac:dyDescent="0.2">
      <c r="I219" s="59"/>
    </row>
    <row r="220" spans="9:9" x14ac:dyDescent="0.2">
      <c r="I220" s="59"/>
    </row>
    <row r="221" spans="9:9" x14ac:dyDescent="0.2">
      <c r="I221" s="59"/>
    </row>
    <row r="222" spans="9:9" x14ac:dyDescent="0.2">
      <c r="I222" s="59"/>
    </row>
    <row r="223" spans="9:9" x14ac:dyDescent="0.2">
      <c r="I223" s="59"/>
    </row>
    <row r="224" spans="9:9" x14ac:dyDescent="0.2">
      <c r="I224" s="59"/>
    </row>
    <row r="225" spans="9:9" x14ac:dyDescent="0.2">
      <c r="I225" s="59"/>
    </row>
    <row r="226" spans="9:9" x14ac:dyDescent="0.2">
      <c r="I226" s="59"/>
    </row>
    <row r="227" spans="9:9" x14ac:dyDescent="0.2">
      <c r="I227" s="59"/>
    </row>
    <row r="228" spans="9:9" x14ac:dyDescent="0.2">
      <c r="I228" s="59"/>
    </row>
    <row r="229" spans="9:9" x14ac:dyDescent="0.2">
      <c r="I229" s="59"/>
    </row>
    <row r="230" spans="9:9" x14ac:dyDescent="0.2">
      <c r="I230" s="59"/>
    </row>
    <row r="231" spans="9:9" x14ac:dyDescent="0.2">
      <c r="I231" s="59"/>
    </row>
    <row r="232" spans="9:9" x14ac:dyDescent="0.2">
      <c r="I232" s="59"/>
    </row>
    <row r="233" spans="9:9" x14ac:dyDescent="0.2">
      <c r="I233" s="59"/>
    </row>
    <row r="234" spans="9:9" x14ac:dyDescent="0.2">
      <c r="I234" s="59"/>
    </row>
    <row r="235" spans="9:9" x14ac:dyDescent="0.2">
      <c r="I235" s="59"/>
    </row>
    <row r="236" spans="9:9" x14ac:dyDescent="0.2">
      <c r="I236" s="59"/>
    </row>
    <row r="237" spans="9:9" x14ac:dyDescent="0.2">
      <c r="I237" s="59"/>
    </row>
    <row r="238" spans="9:9" x14ac:dyDescent="0.2">
      <c r="I238" s="59"/>
    </row>
    <row r="239" spans="9:9" x14ac:dyDescent="0.2">
      <c r="I239" s="59"/>
    </row>
    <row r="240" spans="9:9" x14ac:dyDescent="0.2">
      <c r="I240" s="59"/>
    </row>
    <row r="241" spans="9:9" x14ac:dyDescent="0.2">
      <c r="I241" s="59"/>
    </row>
    <row r="242" spans="9:9" x14ac:dyDescent="0.2">
      <c r="I242" s="59"/>
    </row>
    <row r="243" spans="9:9" x14ac:dyDescent="0.2">
      <c r="I243" s="59"/>
    </row>
    <row r="244" spans="9:9" x14ac:dyDescent="0.2">
      <c r="I244" s="59"/>
    </row>
    <row r="245" spans="9:9" x14ac:dyDescent="0.2">
      <c r="I245" s="59"/>
    </row>
    <row r="246" spans="9:9" x14ac:dyDescent="0.2">
      <c r="I246" s="59"/>
    </row>
    <row r="247" spans="9:9" x14ac:dyDescent="0.2">
      <c r="I247" s="59"/>
    </row>
    <row r="248" spans="9:9" x14ac:dyDescent="0.2">
      <c r="I248" s="59"/>
    </row>
    <row r="249" spans="9:9" x14ac:dyDescent="0.2">
      <c r="I249" s="59"/>
    </row>
    <row r="250" spans="9:9" x14ac:dyDescent="0.2">
      <c r="I250" s="59"/>
    </row>
    <row r="251" spans="9:9" x14ac:dyDescent="0.2">
      <c r="I251" s="59"/>
    </row>
    <row r="252" spans="9:9" x14ac:dyDescent="0.2">
      <c r="I252" s="59"/>
    </row>
    <row r="253" spans="9:9" x14ac:dyDescent="0.2">
      <c r="I253" s="59"/>
    </row>
    <row r="254" spans="9:9" x14ac:dyDescent="0.2">
      <c r="I254" s="59"/>
    </row>
    <row r="255" spans="9:9" x14ac:dyDescent="0.2">
      <c r="I255" s="59"/>
    </row>
    <row r="256" spans="9:9" x14ac:dyDescent="0.2">
      <c r="I256" s="59"/>
    </row>
    <row r="257" spans="9:9" x14ac:dyDescent="0.2">
      <c r="I257" s="59"/>
    </row>
    <row r="258" spans="9:9" x14ac:dyDescent="0.2">
      <c r="I258" s="59"/>
    </row>
    <row r="259" spans="9:9" x14ac:dyDescent="0.2">
      <c r="I259" s="59"/>
    </row>
    <row r="260" spans="9:9" x14ac:dyDescent="0.2">
      <c r="I260" s="59"/>
    </row>
    <row r="261" spans="9:9" x14ac:dyDescent="0.2">
      <c r="I261" s="59"/>
    </row>
    <row r="262" spans="9:9" x14ac:dyDescent="0.2">
      <c r="I262" s="59"/>
    </row>
    <row r="263" spans="9:9" x14ac:dyDescent="0.2">
      <c r="I263" s="59"/>
    </row>
    <row r="264" spans="9:9" x14ac:dyDescent="0.2">
      <c r="I264" s="59"/>
    </row>
    <row r="265" spans="9:9" x14ac:dyDescent="0.2">
      <c r="I265" s="59"/>
    </row>
    <row r="266" spans="9:9" x14ac:dyDescent="0.2">
      <c r="I266" s="59"/>
    </row>
    <row r="267" spans="9:9" x14ac:dyDescent="0.2">
      <c r="I267" s="59"/>
    </row>
    <row r="268" spans="9:9" x14ac:dyDescent="0.2">
      <c r="I268" s="59"/>
    </row>
    <row r="269" spans="9:9" x14ac:dyDescent="0.2">
      <c r="I269" s="59"/>
    </row>
    <row r="270" spans="9:9" x14ac:dyDescent="0.2">
      <c r="I270" s="59"/>
    </row>
    <row r="271" spans="9:9" x14ac:dyDescent="0.2">
      <c r="I271" s="59"/>
    </row>
    <row r="272" spans="9:9" x14ac:dyDescent="0.2">
      <c r="I272" s="59"/>
    </row>
    <row r="273" spans="9:9" x14ac:dyDescent="0.2">
      <c r="I273" s="59"/>
    </row>
    <row r="274" spans="9:9" x14ac:dyDescent="0.2">
      <c r="I274" s="59"/>
    </row>
    <row r="275" spans="9:9" x14ac:dyDescent="0.2">
      <c r="I275" s="59"/>
    </row>
    <row r="276" spans="9:9" x14ac:dyDescent="0.2">
      <c r="I276" s="59"/>
    </row>
    <row r="277" spans="9:9" x14ac:dyDescent="0.2">
      <c r="I277" s="59"/>
    </row>
    <row r="278" spans="9:9" x14ac:dyDescent="0.2">
      <c r="I278" s="59"/>
    </row>
    <row r="279" spans="9:9" x14ac:dyDescent="0.2">
      <c r="I279" s="59"/>
    </row>
    <row r="280" spans="9:9" x14ac:dyDescent="0.2">
      <c r="I280" s="59"/>
    </row>
    <row r="281" spans="9:9" x14ac:dyDescent="0.2">
      <c r="I281" s="59"/>
    </row>
    <row r="282" spans="9:9" x14ac:dyDescent="0.2">
      <c r="I282" s="59"/>
    </row>
    <row r="283" spans="9:9" x14ac:dyDescent="0.2">
      <c r="I283" s="59"/>
    </row>
    <row r="284" spans="9:9" x14ac:dyDescent="0.2">
      <c r="I284" s="59"/>
    </row>
    <row r="285" spans="9:9" x14ac:dyDescent="0.2">
      <c r="I285" s="59"/>
    </row>
    <row r="286" spans="9:9" x14ac:dyDescent="0.2">
      <c r="I286" s="59"/>
    </row>
    <row r="287" spans="9:9" x14ac:dyDescent="0.2">
      <c r="I287" s="59"/>
    </row>
    <row r="288" spans="9:9" x14ac:dyDescent="0.2">
      <c r="I288" s="59"/>
    </row>
    <row r="289" spans="9:9" x14ac:dyDescent="0.2">
      <c r="I289" s="59"/>
    </row>
    <row r="290" spans="9:9" x14ac:dyDescent="0.2">
      <c r="I290" s="59"/>
    </row>
    <row r="291" spans="9:9" x14ac:dyDescent="0.2">
      <c r="I291" s="59"/>
    </row>
    <row r="292" spans="9:9" x14ac:dyDescent="0.2">
      <c r="I292" s="59"/>
    </row>
    <row r="293" spans="9:9" x14ac:dyDescent="0.2">
      <c r="I293" s="59"/>
    </row>
    <row r="294" spans="9:9" x14ac:dyDescent="0.2">
      <c r="I294" s="59"/>
    </row>
    <row r="295" spans="9:9" x14ac:dyDescent="0.2">
      <c r="I295" s="59"/>
    </row>
    <row r="296" spans="9:9" x14ac:dyDescent="0.2">
      <c r="I296" s="59"/>
    </row>
    <row r="297" spans="9:9" x14ac:dyDescent="0.2">
      <c r="I297" s="59"/>
    </row>
    <row r="298" spans="9:9" x14ac:dyDescent="0.2">
      <c r="I298" s="59"/>
    </row>
    <row r="299" spans="9:9" x14ac:dyDescent="0.2">
      <c r="I299" s="59"/>
    </row>
    <row r="300" spans="9:9" x14ac:dyDescent="0.2">
      <c r="I300" s="59"/>
    </row>
    <row r="301" spans="9:9" x14ac:dyDescent="0.2">
      <c r="I301" s="59"/>
    </row>
    <row r="302" spans="9:9" x14ac:dyDescent="0.2">
      <c r="I302" s="59"/>
    </row>
    <row r="303" spans="9:9" x14ac:dyDescent="0.2">
      <c r="I303" s="59"/>
    </row>
    <row r="304" spans="9:9" x14ac:dyDescent="0.2">
      <c r="I304" s="59"/>
    </row>
    <row r="305" spans="9:9" x14ac:dyDescent="0.2">
      <c r="I305" s="59"/>
    </row>
    <row r="306" spans="9:9" x14ac:dyDescent="0.2">
      <c r="I306" s="59"/>
    </row>
    <row r="307" spans="9:9" x14ac:dyDescent="0.2">
      <c r="I307" s="59"/>
    </row>
    <row r="308" spans="9:9" x14ac:dyDescent="0.2">
      <c r="I308" s="59"/>
    </row>
    <row r="309" spans="9:9" x14ac:dyDescent="0.2">
      <c r="I309" s="59"/>
    </row>
    <row r="310" spans="9:9" x14ac:dyDescent="0.2">
      <c r="I310" s="59"/>
    </row>
    <row r="311" spans="9:9" x14ac:dyDescent="0.2">
      <c r="I311" s="59"/>
    </row>
    <row r="312" spans="9:9" x14ac:dyDescent="0.2">
      <c r="I312" s="59"/>
    </row>
    <row r="313" spans="9:9" x14ac:dyDescent="0.2">
      <c r="I313" s="59"/>
    </row>
    <row r="314" spans="9:9" x14ac:dyDescent="0.2">
      <c r="I314" s="59"/>
    </row>
    <row r="315" spans="9:9" x14ac:dyDescent="0.2">
      <c r="I315" s="59"/>
    </row>
    <row r="316" spans="9:9" x14ac:dyDescent="0.2">
      <c r="I316" s="59"/>
    </row>
    <row r="317" spans="9:9" x14ac:dyDescent="0.2">
      <c r="I317" s="59"/>
    </row>
    <row r="318" spans="9:9" x14ac:dyDescent="0.2">
      <c r="I318" s="59"/>
    </row>
    <row r="319" spans="9:9" x14ac:dyDescent="0.2">
      <c r="I319" s="59"/>
    </row>
    <row r="320" spans="9:9" x14ac:dyDescent="0.2">
      <c r="I320" s="59"/>
    </row>
    <row r="321" spans="9:9" x14ac:dyDescent="0.2">
      <c r="I321" s="59"/>
    </row>
    <row r="322" spans="9:9" x14ac:dyDescent="0.2">
      <c r="I322" s="59"/>
    </row>
    <row r="323" spans="9:9" x14ac:dyDescent="0.2">
      <c r="I323" s="59"/>
    </row>
    <row r="324" spans="9:9" x14ac:dyDescent="0.2">
      <c r="I324" s="59"/>
    </row>
    <row r="325" spans="9:9" x14ac:dyDescent="0.2">
      <c r="I325" s="59"/>
    </row>
    <row r="326" spans="9:9" x14ac:dyDescent="0.2">
      <c r="I326" s="59"/>
    </row>
    <row r="327" spans="9:9" x14ac:dyDescent="0.2">
      <c r="I327" s="59"/>
    </row>
    <row r="328" spans="9:9" x14ac:dyDescent="0.2">
      <c r="I328" s="59"/>
    </row>
    <row r="329" spans="9:9" x14ac:dyDescent="0.2">
      <c r="I329" s="59"/>
    </row>
    <row r="330" spans="9:9" x14ac:dyDescent="0.2">
      <c r="I330" s="59"/>
    </row>
    <row r="331" spans="9:9" x14ac:dyDescent="0.2">
      <c r="I331" s="59"/>
    </row>
    <row r="332" spans="9:9" x14ac:dyDescent="0.2">
      <c r="I332" s="59"/>
    </row>
    <row r="333" spans="9:9" x14ac:dyDescent="0.2">
      <c r="I333" s="59"/>
    </row>
    <row r="334" spans="9:9" x14ac:dyDescent="0.2">
      <c r="I334" s="59"/>
    </row>
    <row r="335" spans="9:9" x14ac:dyDescent="0.2">
      <c r="I335" s="59"/>
    </row>
    <row r="336" spans="9:9" x14ac:dyDescent="0.2">
      <c r="I336" s="59"/>
    </row>
    <row r="337" spans="9:9" x14ac:dyDescent="0.2">
      <c r="I337" s="59"/>
    </row>
    <row r="338" spans="9:9" x14ac:dyDescent="0.2">
      <c r="I338" s="59"/>
    </row>
    <row r="339" spans="9:9" x14ac:dyDescent="0.2">
      <c r="I339" s="59"/>
    </row>
    <row r="340" spans="9:9" x14ac:dyDescent="0.2">
      <c r="I340" s="59"/>
    </row>
    <row r="341" spans="9:9" x14ac:dyDescent="0.2">
      <c r="I341" s="59"/>
    </row>
    <row r="342" spans="9:9" x14ac:dyDescent="0.2">
      <c r="I342" s="59"/>
    </row>
    <row r="343" spans="9:9" x14ac:dyDescent="0.2">
      <c r="I343" s="59"/>
    </row>
    <row r="344" spans="9:9" x14ac:dyDescent="0.2">
      <c r="I344" s="59"/>
    </row>
    <row r="345" spans="9:9" x14ac:dyDescent="0.2">
      <c r="I345" s="59"/>
    </row>
    <row r="346" spans="9:9" x14ac:dyDescent="0.2">
      <c r="I346" s="59"/>
    </row>
    <row r="347" spans="9:9" x14ac:dyDescent="0.2">
      <c r="I347" s="59"/>
    </row>
    <row r="348" spans="9:9" x14ac:dyDescent="0.2">
      <c r="I348" s="59"/>
    </row>
    <row r="349" spans="9:9" x14ac:dyDescent="0.2">
      <c r="I349" s="59"/>
    </row>
    <row r="350" spans="9:9" x14ac:dyDescent="0.2">
      <c r="I350" s="59"/>
    </row>
    <row r="351" spans="9:9" x14ac:dyDescent="0.2">
      <c r="I351" s="59"/>
    </row>
    <row r="352" spans="9:9" x14ac:dyDescent="0.2">
      <c r="I352" s="59"/>
    </row>
    <row r="353" spans="9:9" x14ac:dyDescent="0.2">
      <c r="I353" s="59"/>
    </row>
    <row r="354" spans="9:9" x14ac:dyDescent="0.2">
      <c r="I354" s="59"/>
    </row>
    <row r="355" spans="9:9" x14ac:dyDescent="0.2">
      <c r="I355" s="59"/>
    </row>
    <row r="356" spans="9:9" x14ac:dyDescent="0.2">
      <c r="I356" s="59"/>
    </row>
    <row r="357" spans="9:9" x14ac:dyDescent="0.2">
      <c r="I357" s="59"/>
    </row>
    <row r="358" spans="9:9" x14ac:dyDescent="0.2">
      <c r="I358" s="59"/>
    </row>
    <row r="359" spans="9:9" x14ac:dyDescent="0.2">
      <c r="I359" s="59"/>
    </row>
    <row r="360" spans="9:9" x14ac:dyDescent="0.2">
      <c r="I360" s="59"/>
    </row>
    <row r="361" spans="9:9" x14ac:dyDescent="0.2">
      <c r="I361" s="59"/>
    </row>
    <row r="362" spans="9:9" x14ac:dyDescent="0.2">
      <c r="I362" s="59"/>
    </row>
    <row r="363" spans="9:9" x14ac:dyDescent="0.2">
      <c r="I363" s="59"/>
    </row>
    <row r="364" spans="9:9" x14ac:dyDescent="0.2">
      <c r="I364" s="59"/>
    </row>
    <row r="365" spans="9:9" x14ac:dyDescent="0.2">
      <c r="I365" s="59"/>
    </row>
    <row r="366" spans="9:9" x14ac:dyDescent="0.2">
      <c r="I366" s="59"/>
    </row>
    <row r="367" spans="9:9" x14ac:dyDescent="0.2">
      <c r="I367" s="59"/>
    </row>
    <row r="368" spans="9:9" x14ac:dyDescent="0.2">
      <c r="I368" s="59"/>
    </row>
    <row r="369" spans="9:9" x14ac:dyDescent="0.2">
      <c r="I369" s="59"/>
    </row>
    <row r="370" spans="9:9" x14ac:dyDescent="0.2">
      <c r="I370" s="59"/>
    </row>
    <row r="371" spans="9:9" x14ac:dyDescent="0.2">
      <c r="I371" s="59"/>
    </row>
    <row r="372" spans="9:9" x14ac:dyDescent="0.2">
      <c r="I372" s="59"/>
    </row>
    <row r="373" spans="9:9" x14ac:dyDescent="0.2">
      <c r="I373" s="59"/>
    </row>
    <row r="374" spans="9:9" x14ac:dyDescent="0.2">
      <c r="I374" s="59"/>
    </row>
    <row r="375" spans="9:9" x14ac:dyDescent="0.2">
      <c r="I375" s="59"/>
    </row>
    <row r="376" spans="9:9" x14ac:dyDescent="0.2">
      <c r="I376" s="59"/>
    </row>
    <row r="377" spans="9:9" x14ac:dyDescent="0.2">
      <c r="I377" s="59"/>
    </row>
    <row r="378" spans="9:9" x14ac:dyDescent="0.2">
      <c r="I378" s="59"/>
    </row>
    <row r="379" spans="9:9" x14ac:dyDescent="0.2">
      <c r="I379" s="59"/>
    </row>
    <row r="380" spans="9:9" x14ac:dyDescent="0.2">
      <c r="I380" s="59"/>
    </row>
    <row r="381" spans="9:9" x14ac:dyDescent="0.2">
      <c r="I381" s="59"/>
    </row>
    <row r="382" spans="9:9" x14ac:dyDescent="0.2">
      <c r="I382" s="59"/>
    </row>
    <row r="383" spans="9:9" x14ac:dyDescent="0.2">
      <c r="I383" s="59"/>
    </row>
    <row r="384" spans="9:9" x14ac:dyDescent="0.2">
      <c r="I384" s="59"/>
    </row>
    <row r="385" spans="9:9" x14ac:dyDescent="0.2">
      <c r="I385" s="59"/>
    </row>
    <row r="386" spans="9:9" x14ac:dyDescent="0.2">
      <c r="I386" s="59"/>
    </row>
    <row r="387" spans="9:9" x14ac:dyDescent="0.2">
      <c r="I387" s="59"/>
    </row>
    <row r="388" spans="9:9" x14ac:dyDescent="0.2">
      <c r="I388" s="59"/>
    </row>
    <row r="389" spans="9:9" x14ac:dyDescent="0.2">
      <c r="I389" s="59"/>
    </row>
    <row r="390" spans="9:9" x14ac:dyDescent="0.2">
      <c r="I390" s="59"/>
    </row>
    <row r="391" spans="9:9" x14ac:dyDescent="0.2">
      <c r="I391" s="59"/>
    </row>
    <row r="392" spans="9:9" x14ac:dyDescent="0.2">
      <c r="I392" s="59"/>
    </row>
    <row r="393" spans="9:9" x14ac:dyDescent="0.2">
      <c r="I393" s="59"/>
    </row>
    <row r="394" spans="9:9" x14ac:dyDescent="0.2">
      <c r="I394" s="59"/>
    </row>
    <row r="395" spans="9:9" x14ac:dyDescent="0.2">
      <c r="I395" s="59"/>
    </row>
    <row r="396" spans="9:9" x14ac:dyDescent="0.2">
      <c r="I396" s="59"/>
    </row>
    <row r="397" spans="9:9" x14ac:dyDescent="0.2">
      <c r="I397" s="59"/>
    </row>
    <row r="398" spans="9:9" x14ac:dyDescent="0.2">
      <c r="I398" s="59"/>
    </row>
    <row r="399" spans="9:9" x14ac:dyDescent="0.2">
      <c r="I399" s="59"/>
    </row>
    <row r="400" spans="9:9" x14ac:dyDescent="0.2">
      <c r="I400" s="59"/>
    </row>
    <row r="401" spans="9:9" x14ac:dyDescent="0.2">
      <c r="I401" s="59"/>
    </row>
    <row r="402" spans="9:9" x14ac:dyDescent="0.2">
      <c r="I402" s="59"/>
    </row>
    <row r="403" spans="9:9" x14ac:dyDescent="0.2">
      <c r="I403" s="59"/>
    </row>
    <row r="404" spans="9:9" x14ac:dyDescent="0.2">
      <c r="I404" s="59"/>
    </row>
    <row r="405" spans="9:9" x14ac:dyDescent="0.2">
      <c r="I405" s="59"/>
    </row>
    <row r="406" spans="9:9" x14ac:dyDescent="0.2">
      <c r="I406" s="59"/>
    </row>
    <row r="407" spans="9:9" x14ac:dyDescent="0.2">
      <c r="I407" s="59"/>
    </row>
    <row r="408" spans="9:9" x14ac:dyDescent="0.2">
      <c r="I408" s="59"/>
    </row>
    <row r="409" spans="9:9" x14ac:dyDescent="0.2">
      <c r="I409" s="59"/>
    </row>
    <row r="410" spans="9:9" x14ac:dyDescent="0.2">
      <c r="I410" s="59"/>
    </row>
    <row r="411" spans="9:9" x14ac:dyDescent="0.2">
      <c r="I411" s="59"/>
    </row>
    <row r="412" spans="9:9" x14ac:dyDescent="0.2">
      <c r="I412" s="59"/>
    </row>
    <row r="413" spans="9:9" x14ac:dyDescent="0.2">
      <c r="I413" s="59"/>
    </row>
    <row r="414" spans="9:9" x14ac:dyDescent="0.2">
      <c r="I414" s="59"/>
    </row>
    <row r="415" spans="9:9" x14ac:dyDescent="0.2">
      <c r="I415" s="59"/>
    </row>
    <row r="416" spans="9:9" x14ac:dyDescent="0.2">
      <c r="I416" s="59"/>
    </row>
    <row r="417" spans="9:9" x14ac:dyDescent="0.2">
      <c r="I417" s="59"/>
    </row>
    <row r="418" spans="9:9" x14ac:dyDescent="0.2">
      <c r="I418" s="59"/>
    </row>
    <row r="419" spans="9:9" x14ac:dyDescent="0.2">
      <c r="I419" s="59"/>
    </row>
    <row r="420" spans="9:9" x14ac:dyDescent="0.2">
      <c r="I420" s="59"/>
    </row>
    <row r="421" spans="9:9" x14ac:dyDescent="0.2">
      <c r="I421" s="59"/>
    </row>
    <row r="422" spans="9:9" x14ac:dyDescent="0.2">
      <c r="I422" s="59"/>
    </row>
    <row r="423" spans="9:9" x14ac:dyDescent="0.2">
      <c r="I423" s="59"/>
    </row>
    <row r="424" spans="9:9" x14ac:dyDescent="0.2">
      <c r="I424" s="59"/>
    </row>
    <row r="425" spans="9:9" x14ac:dyDescent="0.2">
      <c r="I425" s="59"/>
    </row>
    <row r="426" spans="9:9" x14ac:dyDescent="0.2">
      <c r="I426" s="59"/>
    </row>
    <row r="427" spans="9:9" x14ac:dyDescent="0.2">
      <c r="I427" s="59"/>
    </row>
    <row r="428" spans="9:9" x14ac:dyDescent="0.2">
      <c r="I428" s="59"/>
    </row>
    <row r="429" spans="9:9" x14ac:dyDescent="0.2">
      <c r="I429" s="59"/>
    </row>
    <row r="430" spans="9:9" x14ac:dyDescent="0.2">
      <c r="I430" s="59"/>
    </row>
    <row r="431" spans="9:9" x14ac:dyDescent="0.2">
      <c r="I431" s="59"/>
    </row>
    <row r="432" spans="9:9" x14ac:dyDescent="0.2">
      <c r="I432" s="59"/>
    </row>
    <row r="433" spans="9:9" x14ac:dyDescent="0.2">
      <c r="I433" s="59"/>
    </row>
    <row r="434" spans="9:9" x14ac:dyDescent="0.2">
      <c r="I434" s="59"/>
    </row>
    <row r="435" spans="9:9" x14ac:dyDescent="0.2">
      <c r="I435" s="59"/>
    </row>
    <row r="436" spans="9:9" x14ac:dyDescent="0.2">
      <c r="I436" s="59"/>
    </row>
    <row r="437" spans="9:9" x14ac:dyDescent="0.2">
      <c r="I437" s="59"/>
    </row>
    <row r="438" spans="9:9" x14ac:dyDescent="0.2">
      <c r="I438" s="59"/>
    </row>
    <row r="439" spans="9:9" x14ac:dyDescent="0.2">
      <c r="I439" s="59"/>
    </row>
    <row r="440" spans="9:9" x14ac:dyDescent="0.2">
      <c r="I440" s="59"/>
    </row>
    <row r="441" spans="9:9" x14ac:dyDescent="0.2">
      <c r="I441" s="59"/>
    </row>
    <row r="442" spans="9:9" x14ac:dyDescent="0.2">
      <c r="I442" s="59"/>
    </row>
    <row r="443" spans="9:9" x14ac:dyDescent="0.2">
      <c r="I443" s="59"/>
    </row>
    <row r="444" spans="9:9" x14ac:dyDescent="0.2">
      <c r="I444" s="59"/>
    </row>
    <row r="445" spans="9:9" x14ac:dyDescent="0.2">
      <c r="I445" s="59"/>
    </row>
    <row r="446" spans="9:9" x14ac:dyDescent="0.2">
      <c r="I446" s="59"/>
    </row>
    <row r="447" spans="9:9" x14ac:dyDescent="0.2">
      <c r="I447" s="59"/>
    </row>
    <row r="448" spans="9:9" x14ac:dyDescent="0.2">
      <c r="I448" s="59"/>
    </row>
    <row r="449" spans="9:9" x14ac:dyDescent="0.2">
      <c r="I449" s="59"/>
    </row>
    <row r="450" spans="9:9" x14ac:dyDescent="0.2">
      <c r="I450" s="59"/>
    </row>
    <row r="451" spans="9:9" x14ac:dyDescent="0.2">
      <c r="I451" s="59"/>
    </row>
    <row r="452" spans="9:9" x14ac:dyDescent="0.2">
      <c r="I452" s="59"/>
    </row>
    <row r="453" spans="9:9" x14ac:dyDescent="0.2">
      <c r="I453" s="59"/>
    </row>
    <row r="454" spans="9:9" x14ac:dyDescent="0.2">
      <c r="I454" s="59"/>
    </row>
    <row r="455" spans="9:9" x14ac:dyDescent="0.2">
      <c r="I455" s="59"/>
    </row>
    <row r="456" spans="9:9" x14ac:dyDescent="0.2">
      <c r="I456" s="59"/>
    </row>
    <row r="457" spans="9:9" x14ac:dyDescent="0.2">
      <c r="I457" s="59"/>
    </row>
    <row r="458" spans="9:9" x14ac:dyDescent="0.2">
      <c r="I458" s="59"/>
    </row>
    <row r="459" spans="9:9" x14ac:dyDescent="0.2">
      <c r="I459" s="59"/>
    </row>
    <row r="460" spans="9:9" x14ac:dyDescent="0.2">
      <c r="I460" s="59"/>
    </row>
    <row r="461" spans="9:9" x14ac:dyDescent="0.2">
      <c r="I461" s="59"/>
    </row>
    <row r="462" spans="9:9" x14ac:dyDescent="0.2">
      <c r="I462" s="59"/>
    </row>
    <row r="463" spans="9:9" x14ac:dyDescent="0.2">
      <c r="I463" s="59"/>
    </row>
    <row r="464" spans="9:9" x14ac:dyDescent="0.2">
      <c r="I464" s="59"/>
    </row>
    <row r="465" spans="9:9" x14ac:dyDescent="0.2">
      <c r="I465" s="59"/>
    </row>
    <row r="466" spans="9:9" x14ac:dyDescent="0.2">
      <c r="I466" s="59"/>
    </row>
    <row r="467" spans="9:9" x14ac:dyDescent="0.2">
      <c r="I467" s="59"/>
    </row>
    <row r="468" spans="9:9" x14ac:dyDescent="0.2">
      <c r="I468" s="59"/>
    </row>
    <row r="469" spans="9:9" x14ac:dyDescent="0.2">
      <c r="I469" s="59"/>
    </row>
    <row r="470" spans="9:9" x14ac:dyDescent="0.2">
      <c r="I470" s="59"/>
    </row>
    <row r="471" spans="9:9" x14ac:dyDescent="0.2">
      <c r="I471" s="59"/>
    </row>
    <row r="472" spans="9:9" x14ac:dyDescent="0.2">
      <c r="I472" s="59"/>
    </row>
    <row r="473" spans="9:9" x14ac:dyDescent="0.2">
      <c r="I473" s="59"/>
    </row>
    <row r="474" spans="9:9" x14ac:dyDescent="0.2">
      <c r="I474" s="59"/>
    </row>
    <row r="475" spans="9:9" x14ac:dyDescent="0.2">
      <c r="I475" s="59"/>
    </row>
    <row r="476" spans="9:9" x14ac:dyDescent="0.2">
      <c r="I476" s="59"/>
    </row>
    <row r="477" spans="9:9" x14ac:dyDescent="0.2">
      <c r="I477" s="59"/>
    </row>
    <row r="478" spans="9:9" x14ac:dyDescent="0.2">
      <c r="I478" s="59"/>
    </row>
    <row r="479" spans="9:9" x14ac:dyDescent="0.2">
      <c r="I479" s="59"/>
    </row>
    <row r="480" spans="9:9" x14ac:dyDescent="0.2">
      <c r="I480" s="59"/>
    </row>
    <row r="481" spans="9:9" x14ac:dyDescent="0.2">
      <c r="I481" s="59"/>
    </row>
    <row r="482" spans="9:9" x14ac:dyDescent="0.2">
      <c r="I482" s="59"/>
    </row>
    <row r="483" spans="9:9" x14ac:dyDescent="0.2">
      <c r="I483" s="59"/>
    </row>
    <row r="484" spans="9:9" x14ac:dyDescent="0.2">
      <c r="I484" s="59"/>
    </row>
    <row r="485" spans="9:9" x14ac:dyDescent="0.2">
      <c r="I485" s="59"/>
    </row>
    <row r="486" spans="9:9" x14ac:dyDescent="0.2">
      <c r="I486" s="59"/>
    </row>
    <row r="487" spans="9:9" x14ac:dyDescent="0.2">
      <c r="I487" s="59"/>
    </row>
    <row r="488" spans="9:9" x14ac:dyDescent="0.2">
      <c r="I488" s="59"/>
    </row>
    <row r="489" spans="9:9" x14ac:dyDescent="0.2">
      <c r="I489" s="59"/>
    </row>
    <row r="490" spans="9:9" x14ac:dyDescent="0.2">
      <c r="I490" s="59"/>
    </row>
    <row r="491" spans="9:9" x14ac:dyDescent="0.2">
      <c r="I491" s="59"/>
    </row>
    <row r="492" spans="9:9" x14ac:dyDescent="0.2">
      <c r="I492" s="59"/>
    </row>
    <row r="493" spans="9:9" x14ac:dyDescent="0.2">
      <c r="I493" s="59"/>
    </row>
    <row r="494" spans="9:9" x14ac:dyDescent="0.2">
      <c r="I494" s="59"/>
    </row>
    <row r="495" spans="9:9" x14ac:dyDescent="0.2">
      <c r="I495" s="59"/>
    </row>
    <row r="496" spans="9:9" x14ac:dyDescent="0.2">
      <c r="I496" s="59"/>
    </row>
    <row r="497" spans="9:9" x14ac:dyDescent="0.2">
      <c r="I497" s="59"/>
    </row>
    <row r="498" spans="9:9" x14ac:dyDescent="0.2">
      <c r="I498" s="59"/>
    </row>
    <row r="499" spans="9:9" x14ac:dyDescent="0.2">
      <c r="I499" s="59"/>
    </row>
    <row r="500" spans="9:9" x14ac:dyDescent="0.2">
      <c r="I500" s="59"/>
    </row>
    <row r="501" spans="9:9" x14ac:dyDescent="0.2">
      <c r="I501" s="59"/>
    </row>
    <row r="502" spans="9:9" x14ac:dyDescent="0.2">
      <c r="I502" s="59"/>
    </row>
    <row r="503" spans="9:9" x14ac:dyDescent="0.2">
      <c r="I503" s="59"/>
    </row>
    <row r="504" spans="9:9" x14ac:dyDescent="0.2">
      <c r="I504" s="59"/>
    </row>
    <row r="505" spans="9:9" x14ac:dyDescent="0.2">
      <c r="I505" s="59"/>
    </row>
    <row r="506" spans="9:9" x14ac:dyDescent="0.2">
      <c r="I506" s="59"/>
    </row>
    <row r="507" spans="9:9" x14ac:dyDescent="0.2">
      <c r="I507" s="59"/>
    </row>
    <row r="508" spans="9:9" x14ac:dyDescent="0.2">
      <c r="I508" s="59"/>
    </row>
    <row r="509" spans="9:9" x14ac:dyDescent="0.2">
      <c r="I509" s="59"/>
    </row>
    <row r="510" spans="9:9" x14ac:dyDescent="0.2">
      <c r="I510" s="59"/>
    </row>
    <row r="511" spans="9:9" x14ac:dyDescent="0.2">
      <c r="I511" s="59"/>
    </row>
    <row r="512" spans="9:9" x14ac:dyDescent="0.2">
      <c r="I512" s="59"/>
    </row>
    <row r="513" spans="9:9" x14ac:dyDescent="0.2">
      <c r="I513" s="59"/>
    </row>
    <row r="514" spans="9:9" x14ac:dyDescent="0.2">
      <c r="I514" s="59"/>
    </row>
    <row r="515" spans="9:9" x14ac:dyDescent="0.2">
      <c r="I515" s="59"/>
    </row>
    <row r="516" spans="9:9" x14ac:dyDescent="0.2">
      <c r="I516" s="59"/>
    </row>
    <row r="517" spans="9:9" x14ac:dyDescent="0.2">
      <c r="I517" s="59"/>
    </row>
    <row r="518" spans="9:9" x14ac:dyDescent="0.2">
      <c r="I518" s="59"/>
    </row>
    <row r="519" spans="9:9" x14ac:dyDescent="0.2">
      <c r="I519" s="59"/>
    </row>
    <row r="520" spans="9:9" x14ac:dyDescent="0.2">
      <c r="I520" s="59"/>
    </row>
    <row r="521" spans="9:9" x14ac:dyDescent="0.2">
      <c r="I521" s="59"/>
    </row>
    <row r="522" spans="9:9" x14ac:dyDescent="0.2">
      <c r="I522" s="59"/>
    </row>
    <row r="523" spans="9:9" x14ac:dyDescent="0.2">
      <c r="I523" s="59"/>
    </row>
    <row r="524" spans="9:9" x14ac:dyDescent="0.2">
      <c r="I524" s="59"/>
    </row>
    <row r="525" spans="9:9" x14ac:dyDescent="0.2">
      <c r="I525" s="59"/>
    </row>
    <row r="526" spans="9:9" x14ac:dyDescent="0.2">
      <c r="I526" s="59"/>
    </row>
    <row r="527" spans="9:9" x14ac:dyDescent="0.2">
      <c r="I527" s="59"/>
    </row>
    <row r="528" spans="9:9" x14ac:dyDescent="0.2">
      <c r="I528" s="59"/>
    </row>
    <row r="529" spans="9:9" x14ac:dyDescent="0.2">
      <c r="I529" s="59"/>
    </row>
    <row r="530" spans="9:9" x14ac:dyDescent="0.2">
      <c r="I530" s="59"/>
    </row>
    <row r="531" spans="9:9" x14ac:dyDescent="0.2">
      <c r="I531" s="59"/>
    </row>
    <row r="532" spans="9:9" x14ac:dyDescent="0.2">
      <c r="I532" s="59"/>
    </row>
    <row r="533" spans="9:9" x14ac:dyDescent="0.2">
      <c r="I533" s="59"/>
    </row>
    <row r="534" spans="9:9" x14ac:dyDescent="0.2">
      <c r="I534" s="59"/>
    </row>
    <row r="535" spans="9:9" x14ac:dyDescent="0.2">
      <c r="I535" s="59"/>
    </row>
    <row r="536" spans="9:9" x14ac:dyDescent="0.2">
      <c r="I536" s="59"/>
    </row>
    <row r="537" spans="9:9" x14ac:dyDescent="0.2">
      <c r="I537" s="59"/>
    </row>
    <row r="538" spans="9:9" x14ac:dyDescent="0.2">
      <c r="I538" s="59"/>
    </row>
    <row r="539" spans="9:9" x14ac:dyDescent="0.2">
      <c r="I539" s="59"/>
    </row>
    <row r="540" spans="9:9" x14ac:dyDescent="0.2">
      <c r="I540" s="59"/>
    </row>
    <row r="541" spans="9:9" x14ac:dyDescent="0.2">
      <c r="I541" s="59"/>
    </row>
    <row r="542" spans="9:9" x14ac:dyDescent="0.2">
      <c r="I542" s="59"/>
    </row>
    <row r="543" spans="9:9" x14ac:dyDescent="0.2">
      <c r="I543" s="59"/>
    </row>
    <row r="544" spans="9:9" x14ac:dyDescent="0.2">
      <c r="I544" s="59"/>
    </row>
    <row r="545" spans="9:9" x14ac:dyDescent="0.2">
      <c r="I545" s="59"/>
    </row>
    <row r="546" spans="9:9" x14ac:dyDescent="0.2">
      <c r="I546" s="59"/>
    </row>
    <row r="547" spans="9:9" x14ac:dyDescent="0.2">
      <c r="I547" s="59"/>
    </row>
    <row r="548" spans="9:9" x14ac:dyDescent="0.2">
      <c r="I548" s="59"/>
    </row>
    <row r="549" spans="9:9" x14ac:dyDescent="0.2">
      <c r="I549" s="59"/>
    </row>
    <row r="550" spans="9:9" x14ac:dyDescent="0.2">
      <c r="I550" s="59"/>
    </row>
    <row r="551" spans="9:9" x14ac:dyDescent="0.2">
      <c r="I551" s="59"/>
    </row>
    <row r="552" spans="9:9" x14ac:dyDescent="0.2">
      <c r="I552" s="59"/>
    </row>
    <row r="553" spans="9:9" x14ac:dyDescent="0.2">
      <c r="I553" s="59"/>
    </row>
    <row r="554" spans="9:9" x14ac:dyDescent="0.2">
      <c r="I554" s="59"/>
    </row>
    <row r="555" spans="9:9" x14ac:dyDescent="0.2">
      <c r="I555" s="59"/>
    </row>
    <row r="556" spans="9:9" x14ac:dyDescent="0.2">
      <c r="I556" s="59"/>
    </row>
    <row r="557" spans="9:9" x14ac:dyDescent="0.2">
      <c r="I557" s="59"/>
    </row>
    <row r="558" spans="9:9" x14ac:dyDescent="0.2">
      <c r="I558" s="59"/>
    </row>
    <row r="559" spans="9:9" x14ac:dyDescent="0.2">
      <c r="I559" s="59"/>
    </row>
    <row r="560" spans="9:9" x14ac:dyDescent="0.2">
      <c r="I560" s="59"/>
    </row>
    <row r="561" spans="9:9" x14ac:dyDescent="0.2">
      <c r="I561" s="59"/>
    </row>
    <row r="562" spans="9:9" x14ac:dyDescent="0.2">
      <c r="I562" s="59"/>
    </row>
    <row r="563" spans="9:9" x14ac:dyDescent="0.2">
      <c r="I563" s="59"/>
    </row>
    <row r="564" spans="9:9" x14ac:dyDescent="0.2">
      <c r="I564" s="59"/>
    </row>
    <row r="565" spans="9:9" x14ac:dyDescent="0.2">
      <c r="I565" s="59"/>
    </row>
    <row r="566" spans="9:9" x14ac:dyDescent="0.2">
      <c r="I566" s="59"/>
    </row>
    <row r="567" spans="9:9" x14ac:dyDescent="0.2">
      <c r="I567" s="59"/>
    </row>
    <row r="568" spans="9:9" x14ac:dyDescent="0.2">
      <c r="I568" s="59"/>
    </row>
    <row r="569" spans="9:9" x14ac:dyDescent="0.2">
      <c r="I569" s="59"/>
    </row>
    <row r="570" spans="9:9" x14ac:dyDescent="0.2">
      <c r="I570" s="59"/>
    </row>
    <row r="571" spans="9:9" x14ac:dyDescent="0.2">
      <c r="I571" s="59"/>
    </row>
    <row r="572" spans="9:9" x14ac:dyDescent="0.2">
      <c r="I572" s="59"/>
    </row>
    <row r="573" spans="9:9" x14ac:dyDescent="0.2">
      <c r="I573" s="59"/>
    </row>
    <row r="574" spans="9:9" x14ac:dyDescent="0.2">
      <c r="I574" s="59"/>
    </row>
    <row r="575" spans="9:9" x14ac:dyDescent="0.2">
      <c r="I575" s="59"/>
    </row>
    <row r="576" spans="9:9" x14ac:dyDescent="0.2">
      <c r="I576" s="59"/>
    </row>
    <row r="577" spans="9:9" x14ac:dyDescent="0.2">
      <c r="I577" s="59"/>
    </row>
    <row r="578" spans="9:9" x14ac:dyDescent="0.2">
      <c r="I578" s="59"/>
    </row>
    <row r="579" spans="9:9" x14ac:dyDescent="0.2">
      <c r="I579" s="59"/>
    </row>
    <row r="580" spans="9:9" x14ac:dyDescent="0.2">
      <c r="I580" s="59"/>
    </row>
    <row r="581" spans="9:9" x14ac:dyDescent="0.2">
      <c r="I581" s="59"/>
    </row>
    <row r="582" spans="9:9" x14ac:dyDescent="0.2">
      <c r="I582" s="59"/>
    </row>
    <row r="583" spans="9:9" x14ac:dyDescent="0.2">
      <c r="I583" s="59"/>
    </row>
    <row r="584" spans="9:9" x14ac:dyDescent="0.2">
      <c r="I584" s="59"/>
    </row>
    <row r="585" spans="9:9" x14ac:dyDescent="0.2">
      <c r="I585" s="59"/>
    </row>
    <row r="586" spans="9:9" x14ac:dyDescent="0.2">
      <c r="I586" s="59"/>
    </row>
    <row r="587" spans="9:9" x14ac:dyDescent="0.2">
      <c r="I587" s="59"/>
    </row>
    <row r="588" spans="9:9" x14ac:dyDescent="0.2">
      <c r="I588" s="59"/>
    </row>
    <row r="589" spans="9:9" x14ac:dyDescent="0.2">
      <c r="I589" s="59"/>
    </row>
    <row r="590" spans="9:9" x14ac:dyDescent="0.2">
      <c r="I590" s="59"/>
    </row>
    <row r="591" spans="9:9" x14ac:dyDescent="0.2">
      <c r="I591" s="59"/>
    </row>
    <row r="592" spans="9:9" x14ac:dyDescent="0.2">
      <c r="I592" s="59"/>
    </row>
    <row r="593" spans="9:9" x14ac:dyDescent="0.2">
      <c r="I593" s="59"/>
    </row>
    <row r="594" spans="9:9" x14ac:dyDescent="0.2">
      <c r="I594" s="59"/>
    </row>
    <row r="595" spans="9:9" x14ac:dyDescent="0.2">
      <c r="I595" s="59"/>
    </row>
    <row r="596" spans="9:9" x14ac:dyDescent="0.2">
      <c r="I596" s="59"/>
    </row>
    <row r="597" spans="9:9" x14ac:dyDescent="0.2">
      <c r="I597" s="59"/>
    </row>
    <row r="598" spans="9:9" x14ac:dyDescent="0.2">
      <c r="I598" s="59"/>
    </row>
    <row r="599" spans="9:9" x14ac:dyDescent="0.2">
      <c r="I599" s="59"/>
    </row>
    <row r="600" spans="9:9" x14ac:dyDescent="0.2">
      <c r="I600" s="59"/>
    </row>
    <row r="601" spans="9:9" x14ac:dyDescent="0.2">
      <c r="I601" s="59"/>
    </row>
    <row r="602" spans="9:9" x14ac:dyDescent="0.2">
      <c r="I602" s="59"/>
    </row>
    <row r="603" spans="9:9" x14ac:dyDescent="0.2">
      <c r="I603" s="59"/>
    </row>
    <row r="604" spans="9:9" x14ac:dyDescent="0.2">
      <c r="I604" s="59"/>
    </row>
    <row r="605" spans="9:9" x14ac:dyDescent="0.2">
      <c r="I605" s="59"/>
    </row>
    <row r="606" spans="9:9" x14ac:dyDescent="0.2">
      <c r="I606" s="59"/>
    </row>
    <row r="607" spans="9:9" x14ac:dyDescent="0.2">
      <c r="I607" s="59"/>
    </row>
    <row r="608" spans="9:9" x14ac:dyDescent="0.2">
      <c r="I608" s="59"/>
    </row>
    <row r="609" spans="9:9" x14ac:dyDescent="0.2">
      <c r="I609" s="59"/>
    </row>
    <row r="610" spans="9:9" x14ac:dyDescent="0.2">
      <c r="I610" s="59"/>
    </row>
    <row r="611" spans="9:9" x14ac:dyDescent="0.2">
      <c r="I611" s="59"/>
    </row>
    <row r="612" spans="9:9" x14ac:dyDescent="0.2">
      <c r="I612" s="59"/>
    </row>
    <row r="613" spans="9:9" x14ac:dyDescent="0.2">
      <c r="I613" s="59"/>
    </row>
    <row r="614" spans="9:9" x14ac:dyDescent="0.2">
      <c r="I614" s="59"/>
    </row>
    <row r="615" spans="9:9" x14ac:dyDescent="0.2">
      <c r="I615" s="59"/>
    </row>
    <row r="616" spans="9:9" x14ac:dyDescent="0.2">
      <c r="I616" s="59"/>
    </row>
    <row r="617" spans="9:9" x14ac:dyDescent="0.2">
      <c r="I617" s="59"/>
    </row>
    <row r="618" spans="9:9" x14ac:dyDescent="0.2">
      <c r="I618" s="59"/>
    </row>
    <row r="619" spans="9:9" x14ac:dyDescent="0.2">
      <c r="I619" s="59"/>
    </row>
    <row r="620" spans="9:9" x14ac:dyDescent="0.2">
      <c r="I620" s="59"/>
    </row>
    <row r="621" spans="9:9" x14ac:dyDescent="0.2">
      <c r="I621" s="59"/>
    </row>
    <row r="622" spans="9:9" x14ac:dyDescent="0.2">
      <c r="I622" s="59"/>
    </row>
    <row r="623" spans="9:9" x14ac:dyDescent="0.2">
      <c r="I623" s="59"/>
    </row>
    <row r="624" spans="9:9" x14ac:dyDescent="0.2">
      <c r="I624" s="59"/>
    </row>
    <row r="625" spans="9:9" x14ac:dyDescent="0.2">
      <c r="I625" s="59"/>
    </row>
    <row r="626" spans="9:9" x14ac:dyDescent="0.2">
      <c r="I626" s="59"/>
    </row>
    <row r="627" spans="9:9" x14ac:dyDescent="0.2">
      <c r="I627" s="59"/>
    </row>
    <row r="628" spans="9:9" x14ac:dyDescent="0.2">
      <c r="I628" s="59"/>
    </row>
    <row r="629" spans="9:9" x14ac:dyDescent="0.2">
      <c r="I629" s="59"/>
    </row>
    <row r="630" spans="9:9" x14ac:dyDescent="0.2">
      <c r="I630" s="59"/>
    </row>
    <row r="631" spans="9:9" x14ac:dyDescent="0.2">
      <c r="I631" s="59"/>
    </row>
    <row r="632" spans="9:9" x14ac:dyDescent="0.2">
      <c r="I632" s="59"/>
    </row>
    <row r="633" spans="9:9" x14ac:dyDescent="0.2">
      <c r="I633" s="59"/>
    </row>
    <row r="634" spans="9:9" x14ac:dyDescent="0.2">
      <c r="I634" s="59"/>
    </row>
    <row r="635" spans="9:9" x14ac:dyDescent="0.2">
      <c r="I635" s="59"/>
    </row>
    <row r="636" spans="9:9" x14ac:dyDescent="0.2">
      <c r="I636" s="59"/>
    </row>
    <row r="637" spans="9:9" x14ac:dyDescent="0.2">
      <c r="I637" s="59"/>
    </row>
    <row r="638" spans="9:9" x14ac:dyDescent="0.2">
      <c r="I638" s="59"/>
    </row>
    <row r="639" spans="9:9" x14ac:dyDescent="0.2">
      <c r="I639" s="59"/>
    </row>
    <row r="640" spans="9:9" x14ac:dyDescent="0.2">
      <c r="I640" s="59"/>
    </row>
    <row r="641" spans="9:9" x14ac:dyDescent="0.2">
      <c r="I641" s="59"/>
    </row>
    <row r="642" spans="9:9" x14ac:dyDescent="0.2">
      <c r="I642" s="59"/>
    </row>
    <row r="643" spans="9:9" x14ac:dyDescent="0.2">
      <c r="I643" s="59"/>
    </row>
    <row r="644" spans="9:9" x14ac:dyDescent="0.2">
      <c r="I644" s="59"/>
    </row>
    <row r="645" spans="9:9" x14ac:dyDescent="0.2">
      <c r="I645" s="59"/>
    </row>
    <row r="646" spans="9:9" x14ac:dyDescent="0.2">
      <c r="I646" s="59"/>
    </row>
    <row r="647" spans="9:9" x14ac:dyDescent="0.2">
      <c r="I647" s="59"/>
    </row>
    <row r="648" spans="9:9" x14ac:dyDescent="0.2">
      <c r="I648" s="59"/>
    </row>
    <row r="649" spans="9:9" x14ac:dyDescent="0.2">
      <c r="I649" s="59"/>
    </row>
    <row r="650" spans="9:9" x14ac:dyDescent="0.2">
      <c r="I650" s="59"/>
    </row>
    <row r="651" spans="9:9" x14ac:dyDescent="0.2">
      <c r="I651" s="59"/>
    </row>
    <row r="652" spans="9:9" x14ac:dyDescent="0.2">
      <c r="I652" s="59"/>
    </row>
    <row r="653" spans="9:9" x14ac:dyDescent="0.2">
      <c r="I653" s="59"/>
    </row>
    <row r="654" spans="9:9" x14ac:dyDescent="0.2">
      <c r="I654" s="59"/>
    </row>
    <row r="655" spans="9:9" x14ac:dyDescent="0.2">
      <c r="I655" s="59"/>
    </row>
    <row r="656" spans="9:9" x14ac:dyDescent="0.2">
      <c r="I656" s="59"/>
    </row>
    <row r="657" spans="9:9" x14ac:dyDescent="0.2">
      <c r="I657" s="59"/>
    </row>
    <row r="658" spans="9:9" x14ac:dyDescent="0.2">
      <c r="I658" s="59"/>
    </row>
    <row r="659" spans="9:9" x14ac:dyDescent="0.2">
      <c r="I659" s="59"/>
    </row>
    <row r="660" spans="9:9" x14ac:dyDescent="0.2">
      <c r="I660" s="59"/>
    </row>
    <row r="661" spans="9:9" x14ac:dyDescent="0.2">
      <c r="I661" s="59"/>
    </row>
    <row r="662" spans="9:9" x14ac:dyDescent="0.2">
      <c r="I662" s="59"/>
    </row>
    <row r="663" spans="9:9" x14ac:dyDescent="0.2">
      <c r="I663" s="59"/>
    </row>
    <row r="664" spans="9:9" x14ac:dyDescent="0.2">
      <c r="I664" s="59"/>
    </row>
    <row r="665" spans="9:9" x14ac:dyDescent="0.2">
      <c r="I665" s="59"/>
    </row>
    <row r="666" spans="9:9" x14ac:dyDescent="0.2">
      <c r="I666" s="59"/>
    </row>
    <row r="667" spans="9:9" x14ac:dyDescent="0.2">
      <c r="I667" s="59"/>
    </row>
    <row r="668" spans="9:9" x14ac:dyDescent="0.2">
      <c r="I668" s="59"/>
    </row>
    <row r="669" spans="9:9" x14ac:dyDescent="0.2">
      <c r="I669" s="59"/>
    </row>
    <row r="670" spans="9:9" x14ac:dyDescent="0.2">
      <c r="I670" s="59"/>
    </row>
    <row r="671" spans="9:9" x14ac:dyDescent="0.2">
      <c r="I671" s="59"/>
    </row>
    <row r="672" spans="9:9" x14ac:dyDescent="0.2">
      <c r="I672" s="59"/>
    </row>
    <row r="673" spans="9:9" x14ac:dyDescent="0.2">
      <c r="I673" s="59"/>
    </row>
    <row r="674" spans="9:9" x14ac:dyDescent="0.2">
      <c r="I674" s="59"/>
    </row>
    <row r="675" spans="9:9" x14ac:dyDescent="0.2">
      <c r="I675" s="59"/>
    </row>
    <row r="676" spans="9:9" x14ac:dyDescent="0.2">
      <c r="I676" s="59"/>
    </row>
    <row r="677" spans="9:9" x14ac:dyDescent="0.2">
      <c r="I677" s="59"/>
    </row>
    <row r="678" spans="9:9" x14ac:dyDescent="0.2">
      <c r="I678" s="59"/>
    </row>
    <row r="679" spans="9:9" x14ac:dyDescent="0.2">
      <c r="I679" s="59"/>
    </row>
    <row r="680" spans="9:9" x14ac:dyDescent="0.2">
      <c r="I680" s="59"/>
    </row>
    <row r="681" spans="9:9" x14ac:dyDescent="0.2">
      <c r="I681" s="59"/>
    </row>
    <row r="682" spans="9:9" x14ac:dyDescent="0.2">
      <c r="I682" s="59"/>
    </row>
    <row r="683" spans="9:9" x14ac:dyDescent="0.2">
      <c r="I683" s="59"/>
    </row>
    <row r="684" spans="9:9" x14ac:dyDescent="0.2">
      <c r="I684" s="59"/>
    </row>
    <row r="685" spans="9:9" x14ac:dyDescent="0.2">
      <c r="I685" s="59"/>
    </row>
    <row r="686" spans="9:9" x14ac:dyDescent="0.2">
      <c r="I686" s="59"/>
    </row>
    <row r="687" spans="9:9" x14ac:dyDescent="0.2">
      <c r="I687" s="59"/>
    </row>
    <row r="688" spans="9:9" x14ac:dyDescent="0.2">
      <c r="I688" s="59"/>
    </row>
    <row r="689" spans="9:9" x14ac:dyDescent="0.2">
      <c r="I689" s="59"/>
    </row>
    <row r="690" spans="9:9" x14ac:dyDescent="0.2">
      <c r="I690" s="59"/>
    </row>
    <row r="691" spans="9:9" x14ac:dyDescent="0.2">
      <c r="I691" s="59"/>
    </row>
    <row r="692" spans="9:9" x14ac:dyDescent="0.2">
      <c r="I692" s="59"/>
    </row>
    <row r="693" spans="9:9" x14ac:dyDescent="0.2">
      <c r="I693" s="59"/>
    </row>
    <row r="694" spans="9:9" x14ac:dyDescent="0.2">
      <c r="I694" s="59"/>
    </row>
    <row r="695" spans="9:9" x14ac:dyDescent="0.2">
      <c r="I695" s="59"/>
    </row>
    <row r="696" spans="9:9" x14ac:dyDescent="0.2">
      <c r="I696" s="59"/>
    </row>
    <row r="697" spans="9:9" x14ac:dyDescent="0.2">
      <c r="I697" s="59"/>
    </row>
    <row r="698" spans="9:9" x14ac:dyDescent="0.2">
      <c r="I698" s="59"/>
    </row>
    <row r="699" spans="9:9" x14ac:dyDescent="0.2">
      <c r="I699" s="59"/>
    </row>
    <row r="700" spans="9:9" x14ac:dyDescent="0.2">
      <c r="I700" s="59"/>
    </row>
    <row r="701" spans="9:9" x14ac:dyDescent="0.2">
      <c r="I701" s="59"/>
    </row>
    <row r="702" spans="9:9" x14ac:dyDescent="0.2">
      <c r="I702" s="59"/>
    </row>
    <row r="703" spans="9:9" x14ac:dyDescent="0.2">
      <c r="I703" s="59"/>
    </row>
    <row r="704" spans="9:9" x14ac:dyDescent="0.2">
      <c r="I704" s="59"/>
    </row>
    <row r="705" spans="9:9" x14ac:dyDescent="0.2">
      <c r="I705" s="59"/>
    </row>
    <row r="706" spans="9:9" x14ac:dyDescent="0.2">
      <c r="I706" s="59"/>
    </row>
    <row r="707" spans="9:9" x14ac:dyDescent="0.2">
      <c r="I707" s="59"/>
    </row>
    <row r="708" spans="9:9" x14ac:dyDescent="0.2">
      <c r="I708" s="59"/>
    </row>
    <row r="709" spans="9:9" x14ac:dyDescent="0.2">
      <c r="I709" s="59"/>
    </row>
    <row r="710" spans="9:9" x14ac:dyDescent="0.2">
      <c r="I710" s="59"/>
    </row>
    <row r="711" spans="9:9" x14ac:dyDescent="0.2">
      <c r="I711" s="59"/>
    </row>
    <row r="712" spans="9:9" x14ac:dyDescent="0.2">
      <c r="I712" s="59"/>
    </row>
    <row r="713" spans="9:9" x14ac:dyDescent="0.2">
      <c r="I713" s="59"/>
    </row>
    <row r="714" spans="9:9" x14ac:dyDescent="0.2">
      <c r="I714" s="59"/>
    </row>
    <row r="715" spans="9:9" x14ac:dyDescent="0.2">
      <c r="I715" s="59"/>
    </row>
    <row r="716" spans="9:9" x14ac:dyDescent="0.2">
      <c r="I716" s="59"/>
    </row>
    <row r="717" spans="9:9" x14ac:dyDescent="0.2">
      <c r="I717" s="59"/>
    </row>
    <row r="718" spans="9:9" x14ac:dyDescent="0.2">
      <c r="I718" s="59"/>
    </row>
    <row r="719" spans="9:9" x14ac:dyDescent="0.2">
      <c r="I719" s="59"/>
    </row>
    <row r="720" spans="9:9" x14ac:dyDescent="0.2">
      <c r="I720" s="59"/>
    </row>
    <row r="721" spans="9:9" x14ac:dyDescent="0.2">
      <c r="I721" s="59"/>
    </row>
    <row r="722" spans="9:9" x14ac:dyDescent="0.2">
      <c r="I722" s="59"/>
    </row>
    <row r="723" spans="9:9" x14ac:dyDescent="0.2">
      <c r="I723" s="59"/>
    </row>
    <row r="724" spans="9:9" x14ac:dyDescent="0.2">
      <c r="I724" s="59"/>
    </row>
    <row r="725" spans="9:9" x14ac:dyDescent="0.2">
      <c r="I725" s="59"/>
    </row>
    <row r="726" spans="9:9" x14ac:dyDescent="0.2">
      <c r="I726" s="59"/>
    </row>
    <row r="727" spans="9:9" x14ac:dyDescent="0.2">
      <c r="I727" s="59"/>
    </row>
    <row r="728" spans="9:9" x14ac:dyDescent="0.2">
      <c r="I728" s="59"/>
    </row>
    <row r="729" spans="9:9" x14ac:dyDescent="0.2">
      <c r="I729" s="59"/>
    </row>
    <row r="730" spans="9:9" x14ac:dyDescent="0.2">
      <c r="I730" s="59"/>
    </row>
    <row r="731" spans="9:9" x14ac:dyDescent="0.2">
      <c r="I731" s="59"/>
    </row>
    <row r="732" spans="9:9" x14ac:dyDescent="0.2">
      <c r="I732" s="59"/>
    </row>
    <row r="733" spans="9:9" x14ac:dyDescent="0.2">
      <c r="I733" s="59"/>
    </row>
    <row r="734" spans="9:9" x14ac:dyDescent="0.2">
      <c r="I734" s="59"/>
    </row>
    <row r="735" spans="9:9" x14ac:dyDescent="0.2">
      <c r="I735" s="59"/>
    </row>
    <row r="736" spans="9:9" x14ac:dyDescent="0.2">
      <c r="I736" s="59"/>
    </row>
    <row r="737" spans="9:9" x14ac:dyDescent="0.2">
      <c r="I737" s="59"/>
    </row>
    <row r="738" spans="9:9" x14ac:dyDescent="0.2">
      <c r="I738" s="59"/>
    </row>
    <row r="739" spans="9:9" x14ac:dyDescent="0.2">
      <c r="I739" s="59"/>
    </row>
    <row r="740" spans="9:9" x14ac:dyDescent="0.2">
      <c r="I740" s="59"/>
    </row>
    <row r="741" spans="9:9" x14ac:dyDescent="0.2">
      <c r="I741" s="59"/>
    </row>
    <row r="742" spans="9:9" x14ac:dyDescent="0.2">
      <c r="I742" s="59"/>
    </row>
    <row r="743" spans="9:9" x14ac:dyDescent="0.2">
      <c r="I743" s="59"/>
    </row>
    <row r="744" spans="9:9" x14ac:dyDescent="0.2">
      <c r="I744" s="59"/>
    </row>
    <row r="745" spans="9:9" x14ac:dyDescent="0.2">
      <c r="I745" s="59"/>
    </row>
    <row r="746" spans="9:9" x14ac:dyDescent="0.2">
      <c r="I746" s="59"/>
    </row>
    <row r="747" spans="9:9" x14ac:dyDescent="0.2">
      <c r="I747" s="59"/>
    </row>
    <row r="748" spans="9:9" x14ac:dyDescent="0.2">
      <c r="I748" s="59"/>
    </row>
    <row r="749" spans="9:9" x14ac:dyDescent="0.2">
      <c r="I749" s="59"/>
    </row>
    <row r="750" spans="9:9" x14ac:dyDescent="0.2">
      <c r="I750" s="59"/>
    </row>
    <row r="751" spans="9:9" x14ac:dyDescent="0.2">
      <c r="I751" s="59"/>
    </row>
    <row r="752" spans="9:9" x14ac:dyDescent="0.2">
      <c r="I752" s="59"/>
    </row>
    <row r="753" spans="9:9" x14ac:dyDescent="0.2">
      <c r="I753" s="59"/>
    </row>
    <row r="754" spans="9:9" x14ac:dyDescent="0.2">
      <c r="I754" s="59"/>
    </row>
    <row r="755" spans="9:9" x14ac:dyDescent="0.2">
      <c r="I755" s="59"/>
    </row>
    <row r="756" spans="9:9" x14ac:dyDescent="0.2">
      <c r="I756" s="59"/>
    </row>
    <row r="757" spans="9:9" x14ac:dyDescent="0.2">
      <c r="I757" s="59"/>
    </row>
    <row r="758" spans="9:9" x14ac:dyDescent="0.2">
      <c r="I758" s="59"/>
    </row>
    <row r="759" spans="9:9" x14ac:dyDescent="0.2">
      <c r="I759" s="59"/>
    </row>
    <row r="760" spans="9:9" x14ac:dyDescent="0.2">
      <c r="I760" s="59"/>
    </row>
    <row r="761" spans="9:9" x14ac:dyDescent="0.2">
      <c r="I761" s="59"/>
    </row>
    <row r="762" spans="9:9" x14ac:dyDescent="0.2">
      <c r="I762" s="59"/>
    </row>
    <row r="763" spans="9:9" x14ac:dyDescent="0.2">
      <c r="I763" s="59"/>
    </row>
    <row r="764" spans="9:9" x14ac:dyDescent="0.2">
      <c r="I764" s="59"/>
    </row>
    <row r="765" spans="9:9" x14ac:dyDescent="0.2">
      <c r="I765" s="59"/>
    </row>
    <row r="766" spans="9:9" x14ac:dyDescent="0.2">
      <c r="I766" s="59"/>
    </row>
    <row r="767" spans="9:9" x14ac:dyDescent="0.2">
      <c r="I767" s="59"/>
    </row>
    <row r="768" spans="9:9" x14ac:dyDescent="0.2">
      <c r="I768" s="59"/>
    </row>
    <row r="769" spans="9:9" x14ac:dyDescent="0.2">
      <c r="I769" s="59"/>
    </row>
    <row r="770" spans="9:9" x14ac:dyDescent="0.2">
      <c r="I770" s="59"/>
    </row>
    <row r="771" spans="9:9" x14ac:dyDescent="0.2">
      <c r="I771" s="59"/>
    </row>
    <row r="772" spans="9:9" x14ac:dyDescent="0.2">
      <c r="I772" s="59"/>
    </row>
    <row r="773" spans="9:9" x14ac:dyDescent="0.2">
      <c r="I773" s="59"/>
    </row>
    <row r="774" spans="9:9" x14ac:dyDescent="0.2">
      <c r="I774" s="59"/>
    </row>
    <row r="775" spans="9:9" x14ac:dyDescent="0.2">
      <c r="I775" s="59"/>
    </row>
    <row r="776" spans="9:9" x14ac:dyDescent="0.2">
      <c r="I776" s="59"/>
    </row>
    <row r="777" spans="9:9" x14ac:dyDescent="0.2">
      <c r="I777" s="59"/>
    </row>
    <row r="778" spans="9:9" x14ac:dyDescent="0.2">
      <c r="I778" s="59"/>
    </row>
    <row r="779" spans="9:9" x14ac:dyDescent="0.2">
      <c r="I779" s="59"/>
    </row>
    <row r="780" spans="9:9" x14ac:dyDescent="0.2">
      <c r="I780" s="59"/>
    </row>
    <row r="781" spans="9:9" x14ac:dyDescent="0.2">
      <c r="I781" s="59"/>
    </row>
    <row r="782" spans="9:9" x14ac:dyDescent="0.2">
      <c r="I782" s="59"/>
    </row>
    <row r="783" spans="9:9" x14ac:dyDescent="0.2">
      <c r="I783" s="59"/>
    </row>
    <row r="784" spans="9:9" x14ac:dyDescent="0.2">
      <c r="I784" s="59"/>
    </row>
    <row r="785" spans="9:9" x14ac:dyDescent="0.2">
      <c r="I785" s="59"/>
    </row>
    <row r="786" spans="9:9" x14ac:dyDescent="0.2">
      <c r="I786" s="59"/>
    </row>
    <row r="787" spans="9:9" x14ac:dyDescent="0.2">
      <c r="I787" s="59"/>
    </row>
    <row r="788" spans="9:9" x14ac:dyDescent="0.2">
      <c r="I788" s="59"/>
    </row>
    <row r="789" spans="9:9" x14ac:dyDescent="0.2">
      <c r="I789" s="59"/>
    </row>
    <row r="790" spans="9:9" x14ac:dyDescent="0.2">
      <c r="I790" s="59"/>
    </row>
    <row r="791" spans="9:9" x14ac:dyDescent="0.2">
      <c r="I791" s="59"/>
    </row>
    <row r="792" spans="9:9" x14ac:dyDescent="0.2">
      <c r="I792" s="59"/>
    </row>
    <row r="793" spans="9:9" x14ac:dyDescent="0.2">
      <c r="I793" s="59"/>
    </row>
    <row r="794" spans="9:9" x14ac:dyDescent="0.2">
      <c r="I794" s="59"/>
    </row>
    <row r="795" spans="9:9" x14ac:dyDescent="0.2">
      <c r="I795" s="59"/>
    </row>
    <row r="796" spans="9:9" x14ac:dyDescent="0.2">
      <c r="I796" s="59"/>
    </row>
    <row r="797" spans="9:9" x14ac:dyDescent="0.2">
      <c r="I797" s="59"/>
    </row>
    <row r="798" spans="9:9" x14ac:dyDescent="0.2">
      <c r="I798" s="59"/>
    </row>
    <row r="799" spans="9:9" x14ac:dyDescent="0.2">
      <c r="I799" s="59"/>
    </row>
    <row r="800" spans="9:9" x14ac:dyDescent="0.2">
      <c r="I800" s="59"/>
    </row>
    <row r="801" spans="9:9" x14ac:dyDescent="0.2">
      <c r="I801" s="59"/>
    </row>
    <row r="802" spans="9:9" x14ac:dyDescent="0.2">
      <c r="I802" s="59"/>
    </row>
    <row r="803" spans="9:9" x14ac:dyDescent="0.2">
      <c r="I803" s="59"/>
    </row>
    <row r="804" spans="9:9" x14ac:dyDescent="0.2">
      <c r="I804" s="59"/>
    </row>
    <row r="805" spans="9:9" x14ac:dyDescent="0.2">
      <c r="I805" s="59"/>
    </row>
    <row r="806" spans="9:9" x14ac:dyDescent="0.2">
      <c r="I806" s="59"/>
    </row>
    <row r="807" spans="9:9" x14ac:dyDescent="0.2">
      <c r="I807" s="59"/>
    </row>
    <row r="808" spans="9:9" x14ac:dyDescent="0.2">
      <c r="I808" s="59"/>
    </row>
    <row r="809" spans="9:9" x14ac:dyDescent="0.2">
      <c r="I809" s="59"/>
    </row>
    <row r="810" spans="9:9" x14ac:dyDescent="0.2">
      <c r="I810" s="59"/>
    </row>
    <row r="811" spans="9:9" x14ac:dyDescent="0.2">
      <c r="I811" s="59"/>
    </row>
    <row r="812" spans="9:9" x14ac:dyDescent="0.2">
      <c r="I812" s="59"/>
    </row>
    <row r="813" spans="9:9" x14ac:dyDescent="0.2">
      <c r="I813" s="59"/>
    </row>
    <row r="814" spans="9:9" x14ac:dyDescent="0.2">
      <c r="I814" s="59"/>
    </row>
    <row r="815" spans="9:9" x14ac:dyDescent="0.2">
      <c r="I815" s="59"/>
    </row>
    <row r="816" spans="9:9" x14ac:dyDescent="0.2">
      <c r="I816" s="59"/>
    </row>
    <row r="817" spans="9:9" x14ac:dyDescent="0.2">
      <c r="I817" s="59"/>
    </row>
    <row r="818" spans="9:9" x14ac:dyDescent="0.2">
      <c r="I818" s="59"/>
    </row>
    <row r="819" spans="9:9" x14ac:dyDescent="0.2">
      <c r="I819" s="59"/>
    </row>
    <row r="820" spans="9:9" x14ac:dyDescent="0.2">
      <c r="I820" s="59"/>
    </row>
    <row r="821" spans="9:9" x14ac:dyDescent="0.2">
      <c r="I821" s="59"/>
    </row>
    <row r="822" spans="9:9" x14ac:dyDescent="0.2">
      <c r="I822" s="59"/>
    </row>
    <row r="823" spans="9:9" x14ac:dyDescent="0.2">
      <c r="I823" s="59"/>
    </row>
    <row r="824" spans="9:9" x14ac:dyDescent="0.2">
      <c r="I824" s="59"/>
    </row>
    <row r="825" spans="9:9" x14ac:dyDescent="0.2">
      <c r="I825" s="59"/>
    </row>
    <row r="826" spans="9:9" x14ac:dyDescent="0.2">
      <c r="I826" s="59"/>
    </row>
    <row r="827" spans="9:9" x14ac:dyDescent="0.2">
      <c r="I827" s="59"/>
    </row>
    <row r="828" spans="9:9" x14ac:dyDescent="0.2">
      <c r="I828" s="59"/>
    </row>
    <row r="829" spans="9:9" x14ac:dyDescent="0.2">
      <c r="I829" s="59"/>
    </row>
    <row r="830" spans="9:9" x14ac:dyDescent="0.2">
      <c r="I830" s="59"/>
    </row>
    <row r="831" spans="9:9" x14ac:dyDescent="0.2">
      <c r="I831" s="59"/>
    </row>
    <row r="832" spans="9:9" x14ac:dyDescent="0.2">
      <c r="I832" s="59"/>
    </row>
    <row r="833" spans="9:9" x14ac:dyDescent="0.2">
      <c r="I833" s="59"/>
    </row>
    <row r="834" spans="9:9" x14ac:dyDescent="0.2">
      <c r="I834" s="59"/>
    </row>
    <row r="835" spans="9:9" x14ac:dyDescent="0.2">
      <c r="I835" s="59"/>
    </row>
    <row r="836" spans="9:9" x14ac:dyDescent="0.2">
      <c r="I836" s="59"/>
    </row>
    <row r="837" spans="9:9" x14ac:dyDescent="0.2">
      <c r="I837" s="59"/>
    </row>
    <row r="838" spans="9:9" x14ac:dyDescent="0.2">
      <c r="I838" s="59"/>
    </row>
    <row r="839" spans="9:9" x14ac:dyDescent="0.2">
      <c r="I839" s="59"/>
    </row>
    <row r="840" spans="9:9" x14ac:dyDescent="0.2">
      <c r="I840" s="59"/>
    </row>
    <row r="841" spans="9:9" x14ac:dyDescent="0.2">
      <c r="I841" s="59"/>
    </row>
    <row r="842" spans="9:9" x14ac:dyDescent="0.2">
      <c r="I842" s="59"/>
    </row>
    <row r="843" spans="9:9" x14ac:dyDescent="0.2">
      <c r="I843" s="59"/>
    </row>
    <row r="844" spans="9:9" x14ac:dyDescent="0.2">
      <c r="I844" s="59"/>
    </row>
    <row r="845" spans="9:9" x14ac:dyDescent="0.2">
      <c r="I845" s="59"/>
    </row>
    <row r="846" spans="9:9" x14ac:dyDescent="0.2">
      <c r="I846" s="59"/>
    </row>
    <row r="847" spans="9:9" x14ac:dyDescent="0.2">
      <c r="I847" s="59"/>
    </row>
    <row r="848" spans="9:9" x14ac:dyDescent="0.2">
      <c r="I848" s="59"/>
    </row>
    <row r="849" spans="9:9" x14ac:dyDescent="0.2">
      <c r="I849" s="59"/>
    </row>
    <row r="850" spans="9:9" x14ac:dyDescent="0.2">
      <c r="I850" s="59"/>
    </row>
    <row r="851" spans="9:9" x14ac:dyDescent="0.2">
      <c r="I851" s="59"/>
    </row>
    <row r="852" spans="9:9" x14ac:dyDescent="0.2">
      <c r="I852" s="59"/>
    </row>
    <row r="853" spans="9:9" x14ac:dyDescent="0.2">
      <c r="I853" s="59"/>
    </row>
    <row r="854" spans="9:9" x14ac:dyDescent="0.2">
      <c r="I854" s="59"/>
    </row>
    <row r="855" spans="9:9" x14ac:dyDescent="0.2">
      <c r="I855" s="59"/>
    </row>
    <row r="856" spans="9:9" x14ac:dyDescent="0.2">
      <c r="I856" s="59"/>
    </row>
    <row r="857" spans="9:9" x14ac:dyDescent="0.2">
      <c r="I857" s="59"/>
    </row>
    <row r="858" spans="9:9" x14ac:dyDescent="0.2">
      <c r="I858" s="59"/>
    </row>
    <row r="859" spans="9:9" x14ac:dyDescent="0.2">
      <c r="I859" s="59"/>
    </row>
    <row r="860" spans="9:9" x14ac:dyDescent="0.2">
      <c r="I860" s="59"/>
    </row>
    <row r="861" spans="9:9" x14ac:dyDescent="0.2">
      <c r="I861" s="59"/>
    </row>
    <row r="862" spans="9:9" x14ac:dyDescent="0.2">
      <c r="I862" s="59"/>
    </row>
    <row r="863" spans="9:9" x14ac:dyDescent="0.2">
      <c r="I863" s="59"/>
    </row>
    <row r="864" spans="9:9" x14ac:dyDescent="0.2">
      <c r="I864" s="59"/>
    </row>
    <row r="865" spans="9:9" x14ac:dyDescent="0.2">
      <c r="I865" s="59"/>
    </row>
    <row r="866" spans="9:9" x14ac:dyDescent="0.2">
      <c r="I866" s="59"/>
    </row>
    <row r="867" spans="9:9" x14ac:dyDescent="0.2">
      <c r="I867" s="59"/>
    </row>
    <row r="868" spans="9:9" x14ac:dyDescent="0.2">
      <c r="I868" s="59"/>
    </row>
    <row r="869" spans="9:9" x14ac:dyDescent="0.2">
      <c r="I869" s="59"/>
    </row>
    <row r="870" spans="9:9" x14ac:dyDescent="0.2">
      <c r="I870" s="59"/>
    </row>
    <row r="871" spans="9:9" x14ac:dyDescent="0.2">
      <c r="I871" s="59"/>
    </row>
    <row r="872" spans="9:9" x14ac:dyDescent="0.2">
      <c r="I872" s="59"/>
    </row>
    <row r="873" spans="9:9" x14ac:dyDescent="0.2">
      <c r="I873" s="59"/>
    </row>
    <row r="874" spans="9:9" x14ac:dyDescent="0.2">
      <c r="I874" s="59"/>
    </row>
    <row r="875" spans="9:9" x14ac:dyDescent="0.2">
      <c r="I875" s="59"/>
    </row>
    <row r="876" spans="9:9" x14ac:dyDescent="0.2">
      <c r="I876" s="59"/>
    </row>
    <row r="877" spans="9:9" x14ac:dyDescent="0.2">
      <c r="I877" s="59"/>
    </row>
    <row r="878" spans="9:9" x14ac:dyDescent="0.2">
      <c r="I878" s="59"/>
    </row>
    <row r="879" spans="9:9" x14ac:dyDescent="0.2">
      <c r="I879" s="59"/>
    </row>
    <row r="880" spans="9:9" x14ac:dyDescent="0.2">
      <c r="I880" s="59"/>
    </row>
    <row r="881" spans="9:9" x14ac:dyDescent="0.2">
      <c r="I881" s="59"/>
    </row>
    <row r="882" spans="9:9" x14ac:dyDescent="0.2">
      <c r="I882" s="59"/>
    </row>
    <row r="883" spans="9:9" x14ac:dyDescent="0.2">
      <c r="I883" s="59"/>
    </row>
    <row r="884" spans="9:9" x14ac:dyDescent="0.2">
      <c r="I884" s="59"/>
    </row>
    <row r="885" spans="9:9" x14ac:dyDescent="0.2">
      <c r="I885" s="59"/>
    </row>
    <row r="886" spans="9:9" x14ac:dyDescent="0.2">
      <c r="I886" s="59"/>
    </row>
    <row r="887" spans="9:9" x14ac:dyDescent="0.2">
      <c r="I887" s="59"/>
    </row>
    <row r="888" spans="9:9" x14ac:dyDescent="0.2">
      <c r="I888" s="59"/>
    </row>
    <row r="889" spans="9:9" x14ac:dyDescent="0.2">
      <c r="I889" s="59"/>
    </row>
    <row r="890" spans="9:9" x14ac:dyDescent="0.2">
      <c r="I890" s="59"/>
    </row>
    <row r="891" spans="9:9" x14ac:dyDescent="0.2">
      <c r="I891" s="59"/>
    </row>
    <row r="892" spans="9:9" x14ac:dyDescent="0.2">
      <c r="I892" s="59"/>
    </row>
    <row r="893" spans="9:9" x14ac:dyDescent="0.2">
      <c r="I893" s="59"/>
    </row>
    <row r="894" spans="9:9" x14ac:dyDescent="0.2">
      <c r="I894" s="59"/>
    </row>
    <row r="895" spans="9:9" x14ac:dyDescent="0.2">
      <c r="I895" s="59"/>
    </row>
    <row r="896" spans="9:9" x14ac:dyDescent="0.2">
      <c r="I896" s="59"/>
    </row>
    <row r="897" spans="9:9" x14ac:dyDescent="0.2">
      <c r="I897" s="59"/>
    </row>
    <row r="898" spans="9:9" x14ac:dyDescent="0.2">
      <c r="I898" s="59"/>
    </row>
    <row r="899" spans="9:9" x14ac:dyDescent="0.2">
      <c r="I899" s="59"/>
    </row>
    <row r="900" spans="9:9" x14ac:dyDescent="0.2">
      <c r="I900" s="59"/>
    </row>
    <row r="901" spans="9:9" x14ac:dyDescent="0.2">
      <c r="I901" s="59"/>
    </row>
    <row r="902" spans="9:9" x14ac:dyDescent="0.2">
      <c r="I902" s="59"/>
    </row>
    <row r="903" spans="9:9" x14ac:dyDescent="0.2">
      <c r="I903" s="59"/>
    </row>
    <row r="904" spans="9:9" x14ac:dyDescent="0.2">
      <c r="I904" s="59"/>
    </row>
    <row r="905" spans="9:9" x14ac:dyDescent="0.2">
      <c r="I905" s="59"/>
    </row>
    <row r="906" spans="9:9" x14ac:dyDescent="0.2">
      <c r="I906" s="59"/>
    </row>
    <row r="907" spans="9:9" x14ac:dyDescent="0.2">
      <c r="I907" s="59"/>
    </row>
    <row r="908" spans="9:9" x14ac:dyDescent="0.2">
      <c r="I908" s="59"/>
    </row>
    <row r="909" spans="9:9" x14ac:dyDescent="0.2">
      <c r="I909" s="59"/>
    </row>
    <row r="910" spans="9:9" x14ac:dyDescent="0.2">
      <c r="I910" s="59"/>
    </row>
    <row r="911" spans="9:9" x14ac:dyDescent="0.2">
      <c r="I911" s="59"/>
    </row>
    <row r="912" spans="9:9" x14ac:dyDescent="0.2">
      <c r="I912" s="59"/>
    </row>
    <row r="913" spans="9:9" x14ac:dyDescent="0.2">
      <c r="I913" s="59"/>
    </row>
    <row r="914" spans="9:9" x14ac:dyDescent="0.2">
      <c r="I914" s="59"/>
    </row>
    <row r="915" spans="9:9" x14ac:dyDescent="0.2">
      <c r="I915" s="59"/>
    </row>
    <row r="916" spans="9:9" x14ac:dyDescent="0.2">
      <c r="I916" s="59"/>
    </row>
    <row r="917" spans="9:9" x14ac:dyDescent="0.2">
      <c r="I917" s="59"/>
    </row>
    <row r="918" spans="9:9" x14ac:dyDescent="0.2">
      <c r="I918" s="59"/>
    </row>
    <row r="919" spans="9:9" x14ac:dyDescent="0.2">
      <c r="I919" s="59"/>
    </row>
    <row r="920" spans="9:9" x14ac:dyDescent="0.2">
      <c r="I920" s="59"/>
    </row>
    <row r="921" spans="9:9" x14ac:dyDescent="0.2">
      <c r="I921" s="59"/>
    </row>
    <row r="922" spans="9:9" x14ac:dyDescent="0.2">
      <c r="I922" s="59"/>
    </row>
    <row r="923" spans="9:9" x14ac:dyDescent="0.2">
      <c r="I923" s="59"/>
    </row>
    <row r="924" spans="9:9" x14ac:dyDescent="0.2">
      <c r="I924" s="59"/>
    </row>
    <row r="925" spans="9:9" x14ac:dyDescent="0.2">
      <c r="I925" s="59"/>
    </row>
    <row r="926" spans="9:9" x14ac:dyDescent="0.2">
      <c r="I926" s="59"/>
    </row>
    <row r="927" spans="9:9" x14ac:dyDescent="0.2">
      <c r="I927" s="59"/>
    </row>
    <row r="928" spans="9:9" x14ac:dyDescent="0.2">
      <c r="I928" s="59"/>
    </row>
    <row r="929" spans="9:9" x14ac:dyDescent="0.2">
      <c r="I929" s="59"/>
    </row>
    <row r="930" spans="9:9" x14ac:dyDescent="0.2">
      <c r="I930" s="59"/>
    </row>
    <row r="931" spans="9:9" x14ac:dyDescent="0.2">
      <c r="I931" s="59"/>
    </row>
    <row r="932" spans="9:9" x14ac:dyDescent="0.2">
      <c r="I932" s="59"/>
    </row>
    <row r="933" spans="9:9" x14ac:dyDescent="0.2">
      <c r="I933" s="59"/>
    </row>
    <row r="934" spans="9:9" x14ac:dyDescent="0.2">
      <c r="I934" s="59"/>
    </row>
    <row r="935" spans="9:9" x14ac:dyDescent="0.2">
      <c r="I935" s="59"/>
    </row>
    <row r="936" spans="9:9" x14ac:dyDescent="0.2">
      <c r="I936" s="59"/>
    </row>
    <row r="937" spans="9:9" x14ac:dyDescent="0.2">
      <c r="I937" s="59"/>
    </row>
    <row r="938" spans="9:9" x14ac:dyDescent="0.2">
      <c r="I938" s="59"/>
    </row>
    <row r="939" spans="9:9" x14ac:dyDescent="0.2">
      <c r="I939" s="59"/>
    </row>
    <row r="940" spans="9:9" x14ac:dyDescent="0.2">
      <c r="I940" s="59"/>
    </row>
    <row r="941" spans="9:9" x14ac:dyDescent="0.2">
      <c r="I941" s="59"/>
    </row>
    <row r="942" spans="9:9" x14ac:dyDescent="0.2">
      <c r="I942" s="59"/>
    </row>
    <row r="943" spans="9:9" x14ac:dyDescent="0.2">
      <c r="I943" s="59"/>
    </row>
    <row r="944" spans="9:9" x14ac:dyDescent="0.2">
      <c r="I944" s="59"/>
    </row>
    <row r="945" spans="9:9" x14ac:dyDescent="0.2">
      <c r="I945" s="59"/>
    </row>
    <row r="946" spans="9:9" x14ac:dyDescent="0.2">
      <c r="I946" s="59"/>
    </row>
    <row r="947" spans="9:9" x14ac:dyDescent="0.2">
      <c r="I947" s="59"/>
    </row>
    <row r="948" spans="9:9" x14ac:dyDescent="0.2">
      <c r="I948" s="59"/>
    </row>
    <row r="949" spans="9:9" x14ac:dyDescent="0.2">
      <c r="I949" s="59"/>
    </row>
    <row r="950" spans="9:9" x14ac:dyDescent="0.2">
      <c r="I950" s="59"/>
    </row>
    <row r="951" spans="9:9" x14ac:dyDescent="0.2">
      <c r="I951" s="59"/>
    </row>
    <row r="952" spans="9:9" x14ac:dyDescent="0.2">
      <c r="I952" s="59"/>
    </row>
    <row r="953" spans="9:9" x14ac:dyDescent="0.2">
      <c r="I953" s="59"/>
    </row>
    <row r="954" spans="9:9" x14ac:dyDescent="0.2">
      <c r="I954" s="59"/>
    </row>
    <row r="955" spans="9:9" x14ac:dyDescent="0.2">
      <c r="I955" s="59"/>
    </row>
    <row r="956" spans="9:9" x14ac:dyDescent="0.2">
      <c r="I956" s="59"/>
    </row>
    <row r="957" spans="9:9" x14ac:dyDescent="0.2">
      <c r="I957" s="59"/>
    </row>
    <row r="958" spans="9:9" x14ac:dyDescent="0.2">
      <c r="I958" s="59"/>
    </row>
    <row r="959" spans="9:9" x14ac:dyDescent="0.2">
      <c r="I959" s="59"/>
    </row>
    <row r="960" spans="9:9" x14ac:dyDescent="0.2">
      <c r="I960" s="59"/>
    </row>
    <row r="961" spans="9:9" x14ac:dyDescent="0.2">
      <c r="I961" s="59"/>
    </row>
    <row r="962" spans="9:9" x14ac:dyDescent="0.2">
      <c r="I962" s="59"/>
    </row>
    <row r="963" spans="9:9" x14ac:dyDescent="0.2">
      <c r="I963" s="59"/>
    </row>
    <row r="964" spans="9:9" x14ac:dyDescent="0.2">
      <c r="I964" s="59"/>
    </row>
    <row r="965" spans="9:9" x14ac:dyDescent="0.2">
      <c r="I965" s="59"/>
    </row>
    <row r="966" spans="9:9" x14ac:dyDescent="0.2">
      <c r="I966" s="59"/>
    </row>
    <row r="967" spans="9:9" x14ac:dyDescent="0.2">
      <c r="I967" s="59"/>
    </row>
    <row r="968" spans="9:9" x14ac:dyDescent="0.2">
      <c r="I968" s="59"/>
    </row>
    <row r="969" spans="9:9" x14ac:dyDescent="0.2">
      <c r="I969" s="59"/>
    </row>
    <row r="970" spans="9:9" x14ac:dyDescent="0.2">
      <c r="I970" s="59"/>
    </row>
    <row r="971" spans="9:9" x14ac:dyDescent="0.2">
      <c r="I971" s="59"/>
    </row>
    <row r="972" spans="9:9" x14ac:dyDescent="0.2">
      <c r="I972" s="59"/>
    </row>
    <row r="973" spans="9:9" x14ac:dyDescent="0.2">
      <c r="I973" s="59"/>
    </row>
    <row r="974" spans="9:9" x14ac:dyDescent="0.2">
      <c r="I974" s="59"/>
    </row>
    <row r="975" spans="9:9" x14ac:dyDescent="0.2">
      <c r="I975" s="59"/>
    </row>
    <row r="976" spans="9:9" x14ac:dyDescent="0.2">
      <c r="I976" s="59"/>
    </row>
    <row r="977" spans="9:9" x14ac:dyDescent="0.2">
      <c r="I977" s="59"/>
    </row>
    <row r="978" spans="9:9" x14ac:dyDescent="0.2">
      <c r="I978" s="59"/>
    </row>
    <row r="979" spans="9:9" x14ac:dyDescent="0.2">
      <c r="I979" s="59"/>
    </row>
    <row r="980" spans="9:9" x14ac:dyDescent="0.2">
      <c r="I980" s="59"/>
    </row>
    <row r="981" spans="9:9" x14ac:dyDescent="0.2">
      <c r="I981" s="59"/>
    </row>
    <row r="982" spans="9:9" x14ac:dyDescent="0.2">
      <c r="I982" s="59"/>
    </row>
    <row r="983" spans="9:9" x14ac:dyDescent="0.2">
      <c r="I983" s="59"/>
    </row>
    <row r="984" spans="9:9" x14ac:dyDescent="0.2">
      <c r="I984" s="59"/>
    </row>
    <row r="985" spans="9:9" x14ac:dyDescent="0.2">
      <c r="I985" s="59"/>
    </row>
    <row r="986" spans="9:9" x14ac:dyDescent="0.2">
      <c r="I986" s="59"/>
    </row>
    <row r="987" spans="9:9" x14ac:dyDescent="0.2">
      <c r="I987" s="59"/>
    </row>
    <row r="988" spans="9:9" x14ac:dyDescent="0.2">
      <c r="I988" s="59"/>
    </row>
    <row r="989" spans="9:9" x14ac:dyDescent="0.2">
      <c r="I989" s="59"/>
    </row>
    <row r="990" spans="9:9" x14ac:dyDescent="0.2">
      <c r="I990" s="59"/>
    </row>
    <row r="991" spans="9:9" x14ac:dyDescent="0.2">
      <c r="I991" s="59"/>
    </row>
    <row r="992" spans="9:9" x14ac:dyDescent="0.2">
      <c r="I992" s="59"/>
    </row>
    <row r="993" spans="9:9" x14ac:dyDescent="0.2">
      <c r="I993" s="59"/>
    </row>
    <row r="994" spans="9:9" x14ac:dyDescent="0.2">
      <c r="I994" s="59"/>
    </row>
    <row r="995" spans="9:9" x14ac:dyDescent="0.2">
      <c r="I995" s="59"/>
    </row>
  </sheetData>
  <sheetProtection sort="0" autoFilter="0" pivotTables="0"/>
  <autoFilter ref="A2:L117" xr:uid="{00000000-0009-0000-0000-000000000000}">
    <filterColumn colId="8">
      <filters>
        <filter val="direct link"/>
      </filters>
    </filterColumn>
    <sortState xmlns:xlrd2="http://schemas.microsoft.com/office/spreadsheetml/2017/richdata2" ref="A3:L117">
      <sortCondition ref="C2:C117"/>
    </sortState>
  </autoFilter>
  <customSheetViews>
    <customSheetView guid="{0EE4034D-713D-4E6A-B0C0-7498EF9F76BD}" filter="1" showAutoFilter="1">
      <pageMargins left="0" right="0" top="0" bottom="0" header="0" footer="0"/>
      <autoFilter ref="A2:J81" xr:uid="{79116F90-CBAE-4C23-9CE6-D6258416A82E}"/>
    </customSheetView>
    <customSheetView guid="{FA9453F8-93A5-493C-8085-A0D27480BB7C}" filter="1" showAutoFilter="1">
      <pageMargins left="0" right="0" top="0" bottom="0" header="0" footer="0"/>
      <autoFilter ref="A2:J94" xr:uid="{AED1D0A8-ED8F-41AF-9BA1-9FA2C4287097}">
        <filterColumn colId="1">
          <filters>
            <filter val="Sullivan"/>
          </filters>
        </filterColumn>
        <sortState xmlns:xlrd2="http://schemas.microsoft.com/office/spreadsheetml/2017/richdata2" ref="A2:J94">
          <sortCondition ref="H2:H94"/>
          <sortCondition ref="J2:J94"/>
          <sortCondition ref="D2:D94"/>
          <sortCondition ref="A2:A94"/>
        </sortState>
      </autoFilter>
    </customSheetView>
    <customSheetView guid="{49D39D5E-5E6C-4E33-8976-FE186AA43175}" filter="1" showAutoFilter="1">
      <pageMargins left="0" right="0" top="0" bottom="0" header="0" footer="0"/>
      <autoFilter ref="A2:J94" xr:uid="{11A61025-AF9D-4E30-8ED9-025A428D06E6}">
        <sortState xmlns:xlrd2="http://schemas.microsoft.com/office/spreadsheetml/2017/richdata2" ref="A2:J94">
          <sortCondition ref="E2:E94"/>
        </sortState>
      </autoFilter>
    </customSheetView>
  </customSheetViews>
  <conditionalFormatting sqref="B106:B107">
    <cfRule type="containsText" dxfId="47" priority="133" operator="containsText" text="Done">
      <formula>NOT(ISERROR(SEARCH(("Done"),(C106))))</formula>
    </cfRule>
  </conditionalFormatting>
  <conditionalFormatting sqref="B4:C4 C86:C93 B88:B89 A89 B110 A115">
    <cfRule type="containsText" dxfId="46" priority="59" operator="containsText" text="Done">
      <formula>NOT(ISERROR(SEARCH(("Done"),(B4))))</formula>
    </cfRule>
  </conditionalFormatting>
  <conditionalFormatting sqref="C3 C5:C80">
    <cfRule type="containsText" dxfId="45" priority="190" operator="containsText" text="Done">
      <formula>NOT(ISERROR(SEARCH(("Done"),(D3))))</formula>
    </cfRule>
  </conditionalFormatting>
  <conditionalFormatting sqref="C95:C115">
    <cfRule type="containsText" dxfId="44" priority="139" operator="containsText" text="Done">
      <formula>NOT(ISERROR(SEARCH(("Done"),(D95))))</formula>
    </cfRule>
  </conditionalFormatting>
  <conditionalFormatting sqref="C116:D117">
    <cfRule type="containsText" dxfId="43" priority="19" operator="containsText" text="Done">
      <formula>NOT(ISERROR(SEARCH(("Done"),(C116))))</formula>
    </cfRule>
  </conditionalFormatting>
  <conditionalFormatting sqref="D3:E115">
    <cfRule type="containsText" dxfId="42" priority="192" operator="containsText" text="Done">
      <formula>NOT(ISERROR(SEARCH(("Done"),(F3))))</formula>
    </cfRule>
  </conditionalFormatting>
  <conditionalFormatting sqref="F3:H117">
    <cfRule type="cellIs" dxfId="41" priority="9" operator="lessThan">
      <formula>TODAY()</formula>
    </cfRule>
  </conditionalFormatting>
  <conditionalFormatting sqref="I107:I113">
    <cfRule type="cellIs" dxfId="40" priority="1" operator="lessThan">
      <formula>TODAY()</formula>
    </cfRule>
  </conditionalFormatting>
  <conditionalFormatting sqref="J3:L63 J64 L64">
    <cfRule type="containsBlanks" dxfId="39" priority="157">
      <formula>LEN(TRIM(J3))=0</formula>
    </cfRule>
  </conditionalFormatting>
  <conditionalFormatting sqref="J65:L117">
    <cfRule type="containsBlanks" dxfId="38" priority="16">
      <formula>LEN(TRIM(J65))=0</formula>
    </cfRule>
  </conditionalFormatting>
  <hyperlinks>
    <hyperlink ref="I10" r:id="rId1" xr:uid="{00000000-0004-0000-0000-000000000000}"/>
    <hyperlink ref="I39" r:id="rId2" xr:uid="{00000000-0004-0000-0000-000001000000}"/>
    <hyperlink ref="I48" r:id="rId3" xr:uid="{00000000-0004-0000-0000-000002000000}"/>
    <hyperlink ref="I82" r:id="rId4" xr:uid="{00000000-0004-0000-0000-000003000000}"/>
    <hyperlink ref="I115" r:id="rId5" xr:uid="{00000000-0004-0000-0000-000004000000}"/>
    <hyperlink ref="I111" r:id="rId6" xr:uid="{00000000-0004-0000-0000-000005000000}"/>
    <hyperlink ref="I17" r:id="rId7" xr:uid="{00000000-0004-0000-0000-000006000000}"/>
    <hyperlink ref="I75" r:id="rId8" xr:uid="{00000000-0004-0000-0000-000007000000}"/>
    <hyperlink ref="I109" r:id="rId9" xr:uid="{00000000-0004-0000-0000-000008000000}"/>
    <hyperlink ref="I33" r:id="rId10" xr:uid="{00000000-0004-0000-0000-000009000000}"/>
    <hyperlink ref="I79" r:id="rId11" xr:uid="{00000000-0004-0000-0000-00000A000000}"/>
    <hyperlink ref="I63" r:id="rId12" xr:uid="{00000000-0004-0000-0000-00000B000000}"/>
    <hyperlink ref="I54" r:id="rId13" xr:uid="{00000000-0004-0000-0000-00000C000000}"/>
    <hyperlink ref="I15" r:id="rId14" xr:uid="{00000000-0004-0000-0000-00000D000000}"/>
    <hyperlink ref="I73" r:id="rId15" xr:uid="{00000000-0004-0000-0000-00000E000000}"/>
    <hyperlink ref="I97" r:id="rId16" xr:uid="{00000000-0004-0000-0000-00000F000000}"/>
    <hyperlink ref="I90" r:id="rId17" xr:uid="{00000000-0004-0000-0000-000010000000}"/>
    <hyperlink ref="I27" r:id="rId18" xr:uid="{00000000-0004-0000-0000-000011000000}"/>
    <hyperlink ref="I3" r:id="rId19" xr:uid="{00000000-0004-0000-0000-000012000000}"/>
    <hyperlink ref="I112" r:id="rId20" xr:uid="{00000000-0004-0000-0000-000013000000}"/>
    <hyperlink ref="I78" r:id="rId21" xr:uid="{255B1DC1-967F-4739-B3B4-592C06B583EB}"/>
    <hyperlink ref="I85" r:id="rId22" xr:uid="{822E503A-219C-4059-942C-DFE9F50A7024}"/>
    <hyperlink ref="I84" r:id="rId23" xr:uid="{2396E9BA-7974-47BC-B866-1187BD5D7745}"/>
    <hyperlink ref="I23" r:id="rId24" xr:uid="{EDDB92C6-6536-4BF4-8689-72096DCB7939}"/>
    <hyperlink ref="I19" r:id="rId25" xr:uid="{22A9DA6C-BEB1-4C5C-B963-2B723179DCFD}"/>
    <hyperlink ref="I98" r:id="rId26" xr:uid="{8BDD5F04-77FF-47FD-94E7-43AEA79C6ADE}"/>
    <hyperlink ref="I102" r:id="rId27" xr:uid="{7975C704-71C1-40A5-9BA1-032D6DD06D65}"/>
    <hyperlink ref="I92" r:id="rId28" xr:uid="{7A0FF3F1-5636-4F52-B9D9-23E5F7E62394}"/>
    <hyperlink ref="I56" r:id="rId29" xr:uid="{91F54246-4542-453B-A482-685518CE802C}"/>
    <hyperlink ref="I16" r:id="rId30" xr:uid="{B0DEB55E-AD08-467B-ABE0-A365C90E4680}"/>
    <hyperlink ref="I100" r:id="rId31" xr:uid="{4F632917-0EF6-4AAC-B8D9-DE74F2890E9F}"/>
    <hyperlink ref="I46" r:id="rId32" xr:uid="{5209AE85-C346-445A-BAFF-5A96379B54C6}"/>
    <hyperlink ref="I108" r:id="rId33" xr:uid="{B36E01A1-13F3-4755-ADEF-8E38756368BC}"/>
    <hyperlink ref="I8" r:id="rId34" xr:uid="{F75A9B44-E35E-4E17-94E6-5F03A527206C}"/>
    <hyperlink ref="I89" r:id="rId35" xr:uid="{08E95233-FFE3-4F0D-8319-F4716900AD61}"/>
    <hyperlink ref="I104" r:id="rId36" xr:uid="{6C497AC9-100F-411B-9410-DA6B52AAA8F0}"/>
    <hyperlink ref="I106" r:id="rId37" xr:uid="{30F9DACB-EB15-4C56-93C9-3EC55F863A36}"/>
    <hyperlink ref="I38" r:id="rId38" xr:uid="{93B6AA40-80E2-4966-88BE-50ED7C6BD518}"/>
    <hyperlink ref="I26" r:id="rId39" xr:uid="{3036689A-7D6D-45B6-8F15-46023EAE3472}"/>
    <hyperlink ref="I62" r:id="rId40" xr:uid="{9A829FC4-EBF4-4581-84F0-4797E293BB45}"/>
    <hyperlink ref="I91" r:id="rId41" xr:uid="{6E4FC34E-6B2C-4685-A4D6-665E60A9E97F}"/>
    <hyperlink ref="I107" r:id="rId42" xr:uid="{23871F73-AD4B-4FFC-AEF1-78072F90CB7D}"/>
    <hyperlink ref="I4" r:id="rId43" xr:uid="{428654A1-3847-40F6-8A5B-BD17953A94E4}"/>
    <hyperlink ref="I13" r:id="rId44" xr:uid="{0A1EFA79-EB28-4D3A-AA9F-2F9CF3DD2B67}"/>
    <hyperlink ref="I5" r:id="rId45" xr:uid="{386819F8-2B73-456F-8C11-FD2F40E676B3}"/>
    <hyperlink ref="I83" r:id="rId46" xr:uid="{95048EA6-14E0-4CAB-A733-7583CAD6D38C}"/>
    <hyperlink ref="I52" r:id="rId47" xr:uid="{180543BC-141C-4632-ABB8-D9B0AFD56FFB}"/>
    <hyperlink ref="I34" r:id="rId48" xr:uid="{AB5252F2-E0C3-4974-A56C-57C6B07396F6}"/>
    <hyperlink ref="I21" r:id="rId49" xr:uid="{BFFE37E7-6DA9-45F0-BA94-7E84747A328F}"/>
    <hyperlink ref="I80" r:id="rId50" xr:uid="{C4FDAE15-B373-438D-BBFA-79B9FE12308A}"/>
    <hyperlink ref="I113" r:id="rId51" xr:uid="{00D531EC-6F18-46FD-84D0-2B17B1BA81AD}"/>
    <hyperlink ref="I57" r:id="rId52" xr:uid="{4BA06C51-DB28-4BDD-BA41-7C7A6A87E9B5}"/>
    <hyperlink ref="I86" r:id="rId53" xr:uid="{2A9D3053-B43A-45AD-A796-19F8229BC23D}"/>
    <hyperlink ref="I101" r:id="rId54" xr:uid="{824F2832-495C-4747-975A-1A2373A5DE75}"/>
    <hyperlink ref="I72" r:id="rId55" xr:uid="{8155993A-F457-49AE-8089-285632EB8B63}"/>
    <hyperlink ref="I61" r:id="rId56" xr:uid="{EB3DB3A7-543C-44C0-BAE2-64117189D48D}"/>
    <hyperlink ref="I14" r:id="rId57" xr:uid="{B572B713-24C6-4283-AB02-FBE46F668770}"/>
    <hyperlink ref="I44" r:id="rId58" xr:uid="{99313825-0903-4999-BE91-381F24B9DCBA}"/>
    <hyperlink ref="I65" r:id="rId59" xr:uid="{5F5C4E51-785D-4B46-A670-7689F4E6F81F}"/>
    <hyperlink ref="I74" r:id="rId60" xr:uid="{4353226F-8609-425A-9FCC-3C46893B25CE}"/>
    <hyperlink ref="I64" r:id="rId61" xr:uid="{5146EA35-F412-4F6B-99D0-F9402C100E2D}"/>
    <hyperlink ref="I77" r:id="rId62" xr:uid="{7810672A-C2D3-4094-AFFA-0B9237D6DD80}"/>
    <hyperlink ref="I103" r:id="rId63" xr:uid="{48361A8A-9C61-4CDD-93D6-84CE93A6DC7C}"/>
    <hyperlink ref="I30" r:id="rId64" xr:uid="{BEC2BC11-7929-4DD6-ACE5-927D78669158}"/>
    <hyperlink ref="I9" r:id="rId65" xr:uid="{09397843-599D-4813-B253-8D58E374EEB3}"/>
    <hyperlink ref="I60" r:id="rId66" xr:uid="{AF010FCB-8A39-4656-8393-C8FBE6C66BAA}"/>
    <hyperlink ref="I36" r:id="rId67" xr:uid="{B709CC6F-B03F-4DFB-BA2E-E35689A38735}"/>
    <hyperlink ref="I76" r:id="rId68" xr:uid="{98CBAA39-2FE2-4BBD-9A37-8D2D3EF33DDB}"/>
    <hyperlink ref="I96" r:id="rId69" xr:uid="{C34F965F-E7EE-4BC1-ACF6-517FD788EED8}"/>
    <hyperlink ref="I114" r:id="rId70" xr:uid="{A86DC50F-DFA6-4A14-A1B0-AFFC15C66322}"/>
    <hyperlink ref="I50" r:id="rId71" xr:uid="{8561D7B8-501F-4986-A30F-BEC2B4983165}"/>
    <hyperlink ref="I37" r:id="rId72" xr:uid="{5BF8CFA5-98B7-43D5-B4C9-DE932AEF8F2A}"/>
    <hyperlink ref="I6" r:id="rId73" xr:uid="{61BCBD0F-79AB-4037-BC18-04CB435216A5}"/>
    <hyperlink ref="I32" r:id="rId74" xr:uid="{708155C0-7734-4D6F-A419-0DF0C8B16104}"/>
    <hyperlink ref="I94" r:id="rId75" xr:uid="{F8C80F9B-48AD-4D86-9AF9-0C277B1C58B4}"/>
    <hyperlink ref="I88" r:id="rId76" xr:uid="{B33D63C5-7D56-476C-AA27-FB6D5444956C}"/>
    <hyperlink ref="I53" r:id="rId77" xr:uid="{A353A089-8707-447B-A71C-A28FEE6D3D47}"/>
    <hyperlink ref="I29" r:id="rId78" xr:uid="{2C5B6612-0E68-424D-B0EE-FC4A805EC6CA}"/>
    <hyperlink ref="I40" r:id="rId79" xr:uid="{2BCC44C0-0B42-4829-A9C1-A12C59CE8B68}"/>
    <hyperlink ref="I45" r:id="rId80" xr:uid="{B2BD5BFC-C96B-459C-B37C-7F8D5076E2C8}"/>
    <hyperlink ref="I58" r:id="rId81" xr:uid="{3027862F-EBA3-44AC-BA12-22C9C2B9CC8F}"/>
    <hyperlink ref="I66" r:id="rId82" xr:uid="{E7487E51-FA7A-4D46-BA18-EA4CE3521FB4}"/>
    <hyperlink ref="I110" r:id="rId83" xr:uid="{8D7E771D-417F-4728-83B7-6034A9770E42}"/>
    <hyperlink ref="I25" r:id="rId84" xr:uid="{E7FFA3BC-0359-4FD7-B984-4F04FF7FD09E}"/>
    <hyperlink ref="I105" r:id="rId85" xr:uid="{38200FB7-1C67-4825-B2B4-9D1A67047B1C}"/>
    <hyperlink ref="I12" r:id="rId86" xr:uid="{E604376C-E609-4E5B-BCDD-AFD8C3F654A9}"/>
    <hyperlink ref="I51" r:id="rId87" xr:uid="{29086D8F-D868-4FE8-8CE0-C5460BFA7CEC}"/>
    <hyperlink ref="I43" r:id="rId88" xr:uid="{883BA26F-D39E-4CCE-80B7-AD53EE94981C}"/>
    <hyperlink ref="I81" r:id="rId89" xr:uid="{14337C53-AFE7-4351-815C-E4FA58E06FA3}"/>
    <hyperlink ref="I28" r:id="rId90" xr:uid="{0F854958-03EB-4FD6-B2E5-BF97014ACD08}"/>
    <hyperlink ref="I24" r:id="rId91" xr:uid="{25768439-5078-4595-8B7B-4F82F7EA0EC0}"/>
    <hyperlink ref="I7" r:id="rId92" xr:uid="{1FB61E0F-C7CA-4C77-AEE3-96F5F9849271}"/>
    <hyperlink ref="I93" r:id="rId93" xr:uid="{3E369F05-52BA-4134-956F-DB4A52895857}"/>
    <hyperlink ref="I55" r:id="rId94" xr:uid="{8CFE18D4-3D83-4B48-A2C5-76F570249B81}"/>
    <hyperlink ref="I18" r:id="rId95" xr:uid="{3A4EAF05-6C0C-44A8-8D79-ACDFB4A85CC5}"/>
    <hyperlink ref="I31" r:id="rId96" xr:uid="{33D91199-D707-4DC6-B6D8-C5263DD29762}"/>
    <hyperlink ref="I35" r:id="rId97" xr:uid="{4687440E-5E1B-4FA3-8FAE-49A862E00BA4}"/>
    <hyperlink ref="I22" r:id="rId98" xr:uid="{C60D6663-B825-4A04-9F13-27725A4FFD6D}"/>
    <hyperlink ref="I20" r:id="rId99" xr:uid="{B0B50578-7C24-4BD3-BCB3-5CDB9B7FA140}"/>
    <hyperlink ref="I95" r:id="rId100" xr:uid="{7E2129BC-8327-42ED-9546-0AADA6AF0411}"/>
    <hyperlink ref="I11" r:id="rId101" xr:uid="{31ED790E-4AC7-436E-8FBC-C25C45CC01E2}"/>
    <hyperlink ref="I41" r:id="rId102" xr:uid="{F3D12340-FD04-4B09-8BE2-20DC8D2822BC}"/>
    <hyperlink ref="I116" r:id="rId103" xr:uid="{6C683709-BEF3-47FA-8235-ED25C282F9BE}"/>
    <hyperlink ref="I99" r:id="rId104" xr:uid="{05FB9241-69E9-4084-8832-9AC1AB88634D}"/>
    <hyperlink ref="I117" r:id="rId105" xr:uid="{BBFBCBA3-2014-4728-AC69-0384C862427E}"/>
    <hyperlink ref="I87" r:id="rId106" xr:uid="{5A20B19F-4298-40CC-9C01-D08362176B3E}"/>
    <hyperlink ref="I59" r:id="rId107" xr:uid="{AAC1563B-BE25-435C-9CA0-DA5AFD793261}"/>
  </hyperlinks>
  <printOptions gridLine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DAE04-32D2-4623-BC1C-6D09FF2C94CA}">
  <dimension ref="B5:D39"/>
  <sheetViews>
    <sheetView workbookViewId="0">
      <selection activeCell="D48" sqref="D46:D48"/>
    </sheetView>
  </sheetViews>
  <sheetFormatPr defaultRowHeight="12.75" x14ac:dyDescent="0.2"/>
  <cols>
    <col min="2" max="2" width="17.5703125" customWidth="1"/>
    <col min="3" max="3" width="28.28515625" bestFit="1" customWidth="1"/>
    <col min="4" max="4" width="24.5703125" bestFit="1" customWidth="1"/>
  </cols>
  <sheetData>
    <row r="5" spans="2:4" x14ac:dyDescent="0.2">
      <c r="B5" s="43" t="s">
        <v>638</v>
      </c>
      <c r="C5" s="43" t="s">
        <v>639</v>
      </c>
      <c r="D5" s="43" t="s">
        <v>4</v>
      </c>
    </row>
    <row r="6" spans="2:4" ht="15" x14ac:dyDescent="0.25">
      <c r="B6" s="37" t="s">
        <v>20</v>
      </c>
      <c r="C6" s="42" t="s">
        <v>437</v>
      </c>
      <c r="D6" s="37" t="s">
        <v>345</v>
      </c>
    </row>
    <row r="7" spans="2:4" ht="15" x14ac:dyDescent="0.25">
      <c r="B7" s="37" t="s">
        <v>20</v>
      </c>
      <c r="C7" s="42" t="s">
        <v>463</v>
      </c>
      <c r="D7" s="37" t="s">
        <v>464</v>
      </c>
    </row>
    <row r="8" spans="2:4" ht="15" x14ac:dyDescent="0.25">
      <c r="B8" s="37" t="s">
        <v>20</v>
      </c>
      <c r="C8" s="42" t="s">
        <v>609</v>
      </c>
      <c r="D8" s="37" t="s">
        <v>610</v>
      </c>
    </row>
    <row r="9" spans="2:4" ht="15" x14ac:dyDescent="0.25">
      <c r="B9" s="37" t="s">
        <v>20</v>
      </c>
      <c r="C9" s="42" t="s">
        <v>335</v>
      </c>
      <c r="D9" s="37" t="s">
        <v>228</v>
      </c>
    </row>
    <row r="10" spans="2:4" ht="15" x14ac:dyDescent="0.25">
      <c r="B10" s="37" t="s">
        <v>20</v>
      </c>
      <c r="C10" s="42" t="s">
        <v>577</v>
      </c>
      <c r="D10" s="37" t="s">
        <v>235</v>
      </c>
    </row>
    <row r="11" spans="2:4" ht="15" x14ac:dyDescent="0.25">
      <c r="B11" s="37" t="s">
        <v>20</v>
      </c>
      <c r="C11" s="42" t="s">
        <v>176</v>
      </c>
      <c r="D11" s="37" t="s">
        <v>141</v>
      </c>
    </row>
    <row r="12" spans="2:4" ht="15" x14ac:dyDescent="0.25">
      <c r="B12" s="37" t="s">
        <v>20</v>
      </c>
      <c r="C12" s="42" t="s">
        <v>640</v>
      </c>
      <c r="D12" s="37" t="s">
        <v>430</v>
      </c>
    </row>
    <row r="13" spans="2:4" ht="15" x14ac:dyDescent="0.25">
      <c r="B13" s="37" t="s">
        <v>20</v>
      </c>
      <c r="C13" s="42" t="s">
        <v>306</v>
      </c>
      <c r="D13" s="37" t="s">
        <v>400</v>
      </c>
    </row>
    <row r="14" spans="2:4" ht="15" x14ac:dyDescent="0.25">
      <c r="B14" s="37" t="s">
        <v>20</v>
      </c>
      <c r="C14" s="42" t="s">
        <v>641</v>
      </c>
      <c r="D14" s="37" t="s">
        <v>350</v>
      </c>
    </row>
    <row r="15" spans="2:4" ht="15" x14ac:dyDescent="0.25">
      <c r="B15" s="37" t="s">
        <v>20</v>
      </c>
      <c r="C15" s="42" t="s">
        <v>580</v>
      </c>
      <c r="D15" s="37" t="s">
        <v>48</v>
      </c>
    </row>
    <row r="16" spans="2:4" ht="15" x14ac:dyDescent="0.25">
      <c r="B16" s="37" t="s">
        <v>20</v>
      </c>
      <c r="C16" s="42" t="s">
        <v>642</v>
      </c>
      <c r="D16" s="37" t="s">
        <v>502</v>
      </c>
    </row>
    <row r="17" spans="2:4" ht="15" x14ac:dyDescent="0.25">
      <c r="B17" s="37" t="s">
        <v>20</v>
      </c>
      <c r="C17" s="42" t="s">
        <v>518</v>
      </c>
      <c r="D17" s="37" t="s">
        <v>286</v>
      </c>
    </row>
    <row r="18" spans="2:4" ht="15" x14ac:dyDescent="0.25">
      <c r="B18" s="37" t="s">
        <v>20</v>
      </c>
      <c r="C18" s="42" t="s">
        <v>643</v>
      </c>
      <c r="D18" s="37" t="s">
        <v>286</v>
      </c>
    </row>
    <row r="19" spans="2:4" ht="15" x14ac:dyDescent="0.25">
      <c r="B19" s="37" t="s">
        <v>20</v>
      </c>
      <c r="C19" s="42" t="s">
        <v>644</v>
      </c>
      <c r="D19" s="37" t="s">
        <v>451</v>
      </c>
    </row>
    <row r="20" spans="2:4" ht="15" x14ac:dyDescent="0.25">
      <c r="B20" s="37" t="s">
        <v>20</v>
      </c>
      <c r="C20" s="42" t="s">
        <v>436</v>
      </c>
      <c r="D20" s="37" t="s">
        <v>78</v>
      </c>
    </row>
    <row r="21" spans="2:4" ht="15" x14ac:dyDescent="0.25">
      <c r="B21" s="37" t="s">
        <v>20</v>
      </c>
      <c r="C21" s="42" t="s">
        <v>469</v>
      </c>
      <c r="D21" s="37" t="s">
        <v>78</v>
      </c>
    </row>
    <row r="22" spans="2:4" ht="15" x14ac:dyDescent="0.25">
      <c r="B22" s="37" t="s">
        <v>20</v>
      </c>
      <c r="C22" s="41" t="s">
        <v>317</v>
      </c>
      <c r="D22" s="37" t="s">
        <v>371</v>
      </c>
    </row>
    <row r="23" spans="2:4" ht="15" x14ac:dyDescent="0.25">
      <c r="B23" s="37" t="s">
        <v>20</v>
      </c>
      <c r="C23" s="42" t="s">
        <v>127</v>
      </c>
      <c r="D23" s="37" t="s">
        <v>371</v>
      </c>
    </row>
    <row r="24" spans="2:4" ht="15" x14ac:dyDescent="0.25">
      <c r="B24" s="37" t="s">
        <v>20</v>
      </c>
      <c r="C24" s="42" t="s">
        <v>421</v>
      </c>
      <c r="D24" s="37" t="s">
        <v>262</v>
      </c>
    </row>
    <row r="25" spans="2:4" ht="15" x14ac:dyDescent="0.25">
      <c r="B25" s="4" t="s">
        <v>13</v>
      </c>
      <c r="C25" s="41" t="s">
        <v>442</v>
      </c>
      <c r="D25" s="4" t="s">
        <v>345</v>
      </c>
    </row>
    <row r="26" spans="2:4" ht="15" x14ac:dyDescent="0.25">
      <c r="B26" s="4" t="s">
        <v>13</v>
      </c>
      <c r="C26" s="41" t="s">
        <v>376</v>
      </c>
      <c r="D26" s="4" t="s">
        <v>104</v>
      </c>
    </row>
    <row r="27" spans="2:4" ht="15" x14ac:dyDescent="0.25">
      <c r="B27" s="4" t="s">
        <v>13</v>
      </c>
      <c r="C27" s="41" t="s">
        <v>467</v>
      </c>
      <c r="D27" s="4" t="s">
        <v>305</v>
      </c>
    </row>
    <row r="28" spans="2:4" ht="15" x14ac:dyDescent="0.25">
      <c r="B28" s="4" t="s">
        <v>13</v>
      </c>
      <c r="C28" s="41" t="s">
        <v>386</v>
      </c>
      <c r="D28" s="4" t="s">
        <v>604</v>
      </c>
    </row>
    <row r="29" spans="2:4" ht="15" x14ac:dyDescent="0.25">
      <c r="B29" s="4" t="s">
        <v>13</v>
      </c>
      <c r="C29" s="41" t="s">
        <v>499</v>
      </c>
      <c r="D29" s="4" t="s">
        <v>235</v>
      </c>
    </row>
    <row r="30" spans="2:4" ht="15" x14ac:dyDescent="0.25">
      <c r="B30" s="4" t="s">
        <v>13</v>
      </c>
      <c r="C30" s="41" t="s">
        <v>514</v>
      </c>
      <c r="D30" s="4" t="s">
        <v>141</v>
      </c>
    </row>
    <row r="31" spans="2:4" ht="15" x14ac:dyDescent="0.25">
      <c r="B31" s="4" t="s">
        <v>13</v>
      </c>
      <c r="C31" s="41" t="s">
        <v>645</v>
      </c>
      <c r="D31" s="4" t="s">
        <v>481</v>
      </c>
    </row>
    <row r="32" spans="2:4" ht="15" x14ac:dyDescent="0.25">
      <c r="B32" s="4" t="s">
        <v>13</v>
      </c>
      <c r="C32" s="41" t="s">
        <v>391</v>
      </c>
      <c r="D32" s="4" t="s">
        <v>199</v>
      </c>
    </row>
    <row r="33" spans="2:4" ht="15" x14ac:dyDescent="0.25">
      <c r="B33" s="4" t="s">
        <v>13</v>
      </c>
      <c r="C33" s="41" t="s">
        <v>403</v>
      </c>
      <c r="D33" s="4" t="s">
        <v>161</v>
      </c>
    </row>
    <row r="34" spans="2:4" ht="15" x14ac:dyDescent="0.25">
      <c r="B34" s="4" t="s">
        <v>13</v>
      </c>
      <c r="C34" s="41" t="s">
        <v>384</v>
      </c>
      <c r="D34" s="4" t="s">
        <v>599</v>
      </c>
    </row>
    <row r="35" spans="2:4" ht="15" x14ac:dyDescent="0.25">
      <c r="B35" s="4" t="s">
        <v>13</v>
      </c>
      <c r="C35" s="41" t="s">
        <v>21</v>
      </c>
      <c r="D35" s="4" t="s">
        <v>517</v>
      </c>
    </row>
    <row r="36" spans="2:4" ht="15" x14ac:dyDescent="0.25">
      <c r="B36" s="4" t="s">
        <v>13</v>
      </c>
      <c r="C36" s="41" t="s">
        <v>351</v>
      </c>
      <c r="D36" s="4" t="s">
        <v>414</v>
      </c>
    </row>
    <row r="37" spans="2:4" ht="15" x14ac:dyDescent="0.25">
      <c r="B37" s="4" t="s">
        <v>13</v>
      </c>
      <c r="C37" s="41" t="s">
        <v>576</v>
      </c>
      <c r="D37" s="4" t="s">
        <v>68</v>
      </c>
    </row>
    <row r="38" spans="2:4" ht="15" x14ac:dyDescent="0.25">
      <c r="B38" s="4" t="s">
        <v>13</v>
      </c>
      <c r="C38" s="41" t="s">
        <v>646</v>
      </c>
      <c r="D38" s="4" t="s">
        <v>262</v>
      </c>
    </row>
    <row r="39" spans="2:4" ht="15" x14ac:dyDescent="0.25">
      <c r="B39" s="4" t="s">
        <v>13</v>
      </c>
      <c r="C39" s="41" t="s">
        <v>527</v>
      </c>
      <c r="D39" s="4" t="s">
        <v>262</v>
      </c>
    </row>
  </sheetData>
  <autoFilter ref="B5:D39" xr:uid="{3D5DAE04-32D2-4623-BC1C-6D09FF2C94CA}">
    <sortState xmlns:xlrd2="http://schemas.microsoft.com/office/spreadsheetml/2017/richdata2" ref="B6:D39">
      <sortCondition ref="B5:B38"/>
    </sortState>
  </autoFilter>
  <conditionalFormatting sqref="B33">
    <cfRule type="containsText" dxfId="37" priority="3" operator="containsText" text="Done">
      <formula>NOT(ISERROR(SEARCH(("Done"),(C33))))</formula>
    </cfRule>
  </conditionalFormatting>
  <conditionalFormatting sqref="C6:D39">
    <cfRule type="containsText" dxfId="36" priority="1" operator="containsText" text="Done">
      <formula>NOT(ISERROR(SEARCH(("Done"),(D6))))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FF0000"/>
    <outlinePr summaryBelow="0" summaryRight="0"/>
  </sheetPr>
  <dimension ref="A1:AG147"/>
  <sheetViews>
    <sheetView workbookViewId="0">
      <pane ySplit="1" topLeftCell="A74" activePane="bottomLeft" state="frozen"/>
      <selection activeCell="B1" sqref="B1"/>
      <selection pane="bottomLeft" activeCell="C124" sqref="C124"/>
    </sheetView>
  </sheetViews>
  <sheetFormatPr defaultColWidth="12.5703125" defaultRowHeight="15.75" customHeight="1" x14ac:dyDescent="0.2"/>
  <cols>
    <col min="1" max="1" width="19.5703125" bestFit="1" customWidth="1"/>
    <col min="2" max="2" width="19.140625" bestFit="1" customWidth="1"/>
    <col min="3" max="3" width="26.85546875" customWidth="1"/>
    <col min="4" max="4" width="45" bestFit="1" customWidth="1"/>
    <col min="5" max="6" width="11.85546875" bestFit="1" customWidth="1"/>
    <col min="7" max="7" width="22.85546875" bestFit="1" customWidth="1"/>
    <col min="8" max="8" width="31.140625" style="86" bestFit="1" customWidth="1"/>
    <col min="9" max="9" width="31.42578125" style="34" bestFit="1" customWidth="1"/>
    <col min="10" max="10" width="32" style="34" customWidth="1"/>
    <col min="11" max="11" width="31.42578125" style="34" bestFit="1" customWidth="1"/>
    <col min="12" max="12" width="22.42578125" style="34" bestFit="1" customWidth="1"/>
    <col min="13" max="13" width="36.42578125" hidden="1" customWidth="1"/>
    <col min="16" max="16" width="15.140625" bestFit="1" customWidth="1"/>
    <col min="18" max="18" width="35" bestFit="1" customWidth="1"/>
    <col min="19" max="19" width="35.5703125" bestFit="1" customWidth="1"/>
  </cols>
  <sheetData>
    <row r="1" spans="1:13" ht="15.75" customHeight="1" x14ac:dyDescent="0.25">
      <c r="A1" s="76" t="s">
        <v>1</v>
      </c>
      <c r="B1" s="76" t="s">
        <v>647</v>
      </c>
      <c r="C1" s="76" t="s">
        <v>3</v>
      </c>
      <c r="D1" s="76" t="s">
        <v>4</v>
      </c>
      <c r="E1" s="76" t="s">
        <v>5</v>
      </c>
      <c r="F1" s="89" t="s">
        <v>6</v>
      </c>
      <c r="G1" s="76" t="s">
        <v>648</v>
      </c>
      <c r="H1" s="84" t="s">
        <v>8</v>
      </c>
      <c r="I1" s="77" t="s">
        <v>9</v>
      </c>
      <c r="J1" s="77" t="s">
        <v>10</v>
      </c>
      <c r="K1" s="77" t="s">
        <v>11</v>
      </c>
      <c r="M1" s="76" t="s">
        <v>388</v>
      </c>
    </row>
    <row r="2" spans="1:13" ht="15.75" customHeight="1" x14ac:dyDescent="0.25">
      <c r="A2" s="69" t="s">
        <v>25</v>
      </c>
      <c r="B2" s="69" t="s">
        <v>20</v>
      </c>
      <c r="C2" s="69" t="s">
        <v>391</v>
      </c>
      <c r="D2" s="69" t="s">
        <v>286</v>
      </c>
      <c r="E2" s="87">
        <v>45617</v>
      </c>
      <c r="F2" s="87">
        <v>45619</v>
      </c>
      <c r="G2" s="81">
        <v>45619</v>
      </c>
      <c r="H2" s="82" t="s">
        <v>16</v>
      </c>
      <c r="I2" s="72" t="s">
        <v>111</v>
      </c>
      <c r="J2" s="72" t="s">
        <v>29</v>
      </c>
      <c r="K2" s="72" t="s">
        <v>71</v>
      </c>
      <c r="M2" s="70"/>
    </row>
    <row r="3" spans="1:13" ht="15.75" customHeight="1" x14ac:dyDescent="0.25">
      <c r="A3" s="69" t="s">
        <v>25</v>
      </c>
      <c r="B3" s="69" t="s">
        <v>241</v>
      </c>
      <c r="C3" s="69" t="s">
        <v>775</v>
      </c>
      <c r="D3" s="69" t="s">
        <v>336</v>
      </c>
      <c r="E3" s="79">
        <v>45709</v>
      </c>
      <c r="F3" s="87">
        <v>45710</v>
      </c>
      <c r="G3" s="100" t="s">
        <v>241</v>
      </c>
      <c r="H3" s="69" t="s">
        <v>241</v>
      </c>
      <c r="I3" s="72"/>
      <c r="J3" s="72"/>
      <c r="K3" s="72"/>
      <c r="M3" s="70" t="s">
        <v>649</v>
      </c>
    </row>
    <row r="4" spans="1:13" ht="15.75" customHeight="1" x14ac:dyDescent="0.25">
      <c r="A4" s="69" t="s">
        <v>394</v>
      </c>
      <c r="B4" s="69" t="s">
        <v>13</v>
      </c>
      <c r="C4" s="69" t="s">
        <v>160</v>
      </c>
      <c r="D4" s="72" t="s">
        <v>212</v>
      </c>
      <c r="E4" s="79">
        <v>45703</v>
      </c>
      <c r="F4" s="87">
        <v>45709</v>
      </c>
      <c r="G4" s="100">
        <v>45705</v>
      </c>
      <c r="H4" s="82" t="s">
        <v>16</v>
      </c>
      <c r="I4" s="72" t="s">
        <v>162</v>
      </c>
      <c r="J4" s="72" t="s">
        <v>163</v>
      </c>
      <c r="K4" s="72" t="s">
        <v>396</v>
      </c>
      <c r="M4" s="70" t="s">
        <v>503</v>
      </c>
    </row>
    <row r="5" spans="1:13" ht="15.75" customHeight="1" x14ac:dyDescent="0.25">
      <c r="A5" s="69" t="s">
        <v>52</v>
      </c>
      <c r="B5" s="69" t="s">
        <v>20</v>
      </c>
      <c r="C5" s="69" t="s">
        <v>786</v>
      </c>
      <c r="D5" s="69" t="s">
        <v>650</v>
      </c>
      <c r="E5" s="79">
        <v>45716</v>
      </c>
      <c r="F5" s="87">
        <v>45724</v>
      </c>
      <c r="G5" s="100">
        <v>45724</v>
      </c>
      <c r="H5" s="82" t="s">
        <v>16</v>
      </c>
      <c r="I5" s="72" t="s">
        <v>398</v>
      </c>
      <c r="J5" s="72" t="s">
        <v>191</v>
      </c>
      <c r="K5" s="72" t="s">
        <v>71</v>
      </c>
      <c r="M5" s="30"/>
    </row>
    <row r="6" spans="1:13" ht="15.75" customHeight="1" x14ac:dyDescent="0.25">
      <c r="A6" s="69" t="s">
        <v>399</v>
      </c>
      <c r="B6" s="69" t="s">
        <v>20</v>
      </c>
      <c r="C6" s="69" t="s">
        <v>787</v>
      </c>
      <c r="D6" s="69" t="s">
        <v>249</v>
      </c>
      <c r="E6" s="79">
        <v>45769</v>
      </c>
      <c r="F6" s="87">
        <v>45773</v>
      </c>
      <c r="G6" s="100">
        <v>45773</v>
      </c>
      <c r="H6" s="124" t="s">
        <v>16</v>
      </c>
      <c r="I6" s="72" t="s">
        <v>60</v>
      </c>
      <c r="J6" s="72" t="s">
        <v>37</v>
      </c>
      <c r="K6" s="72" t="s">
        <v>307</v>
      </c>
      <c r="M6" s="70"/>
    </row>
    <row r="7" spans="1:13" ht="15.75" customHeight="1" x14ac:dyDescent="0.25">
      <c r="A7" s="69" t="s">
        <v>43</v>
      </c>
      <c r="B7" s="69" t="s">
        <v>13</v>
      </c>
      <c r="C7" s="69" t="s">
        <v>316</v>
      </c>
      <c r="D7" s="69" t="s">
        <v>22</v>
      </c>
      <c r="E7" s="79">
        <v>45769</v>
      </c>
      <c r="F7" s="87">
        <v>45773</v>
      </c>
      <c r="G7" s="100">
        <v>45773</v>
      </c>
      <c r="H7" s="82" t="s">
        <v>16</v>
      </c>
      <c r="I7" s="72" t="s">
        <v>404</v>
      </c>
      <c r="J7" s="72" t="s">
        <v>406</v>
      </c>
      <c r="K7" s="72" t="s">
        <v>651</v>
      </c>
      <c r="M7" s="70" t="s">
        <v>652</v>
      </c>
    </row>
    <row r="8" spans="1:13" ht="15.75" customHeight="1" x14ac:dyDescent="0.25">
      <c r="A8" s="69" t="s">
        <v>25</v>
      </c>
      <c r="B8" s="69" t="s">
        <v>20</v>
      </c>
      <c r="C8" s="69" t="s">
        <v>290</v>
      </c>
      <c r="D8" s="69" t="s">
        <v>430</v>
      </c>
      <c r="E8" s="79">
        <v>45704</v>
      </c>
      <c r="F8" s="87">
        <v>45710</v>
      </c>
      <c r="G8" s="81">
        <v>45704</v>
      </c>
      <c r="H8" s="82" t="s">
        <v>16</v>
      </c>
      <c r="I8" s="72" t="s">
        <v>111</v>
      </c>
      <c r="J8" s="72" t="s">
        <v>29</v>
      </c>
      <c r="K8" s="72" t="s">
        <v>28</v>
      </c>
      <c r="M8" s="70" t="s">
        <v>622</v>
      </c>
    </row>
    <row r="9" spans="1:13" ht="15.75" customHeight="1" x14ac:dyDescent="0.25">
      <c r="A9" s="69" t="s">
        <v>52</v>
      </c>
      <c r="B9" s="69" t="s">
        <v>13</v>
      </c>
      <c r="C9" s="69" t="s">
        <v>789</v>
      </c>
      <c r="D9" s="72" t="s">
        <v>369</v>
      </c>
      <c r="E9" s="88">
        <v>45728</v>
      </c>
      <c r="F9" s="87">
        <v>45738</v>
      </c>
      <c r="G9" s="100">
        <v>45738</v>
      </c>
      <c r="H9" s="82" t="s">
        <v>16</v>
      </c>
      <c r="I9" s="72" t="s">
        <v>250</v>
      </c>
      <c r="J9" s="72" t="s">
        <v>29</v>
      </c>
      <c r="K9" s="72" t="s">
        <v>28</v>
      </c>
      <c r="M9" s="70"/>
    </row>
    <row r="10" spans="1:13" ht="15.75" customHeight="1" x14ac:dyDescent="0.25">
      <c r="A10" s="71" t="s">
        <v>12</v>
      </c>
      <c r="B10" s="69" t="s">
        <v>13</v>
      </c>
      <c r="C10" s="69" t="s">
        <v>251</v>
      </c>
      <c r="D10" s="72" t="s">
        <v>350</v>
      </c>
      <c r="E10" s="79">
        <v>45713</v>
      </c>
      <c r="F10" s="87">
        <v>45717</v>
      </c>
      <c r="G10" s="100" t="s">
        <v>241</v>
      </c>
      <c r="H10" s="100" t="s">
        <v>241</v>
      </c>
      <c r="I10" s="72"/>
      <c r="J10" s="72"/>
      <c r="K10" s="72"/>
      <c r="M10" s="70"/>
    </row>
    <row r="11" spans="1:13" ht="15.75" customHeight="1" x14ac:dyDescent="0.25">
      <c r="A11" s="71" t="s">
        <v>12</v>
      </c>
      <c r="B11" s="71" t="s">
        <v>13</v>
      </c>
      <c r="C11" s="71" t="s">
        <v>140</v>
      </c>
      <c r="D11" s="69" t="s">
        <v>653</v>
      </c>
      <c r="E11" s="79">
        <v>45674</v>
      </c>
      <c r="F11" s="80">
        <v>45689</v>
      </c>
      <c r="G11" s="81">
        <v>45682</v>
      </c>
      <c r="H11" s="104" t="s">
        <v>16</v>
      </c>
      <c r="I11" s="72" t="s">
        <v>142</v>
      </c>
      <c r="J11" s="72" t="s">
        <v>32</v>
      </c>
      <c r="K11" s="72" t="s">
        <v>654</v>
      </c>
      <c r="M11" s="70"/>
    </row>
    <row r="12" spans="1:13" ht="15.75" customHeight="1" x14ac:dyDescent="0.25">
      <c r="A12" s="69" t="s">
        <v>12</v>
      </c>
      <c r="B12" s="69" t="s">
        <v>20</v>
      </c>
      <c r="C12" s="69" t="s">
        <v>385</v>
      </c>
      <c r="D12" s="69" t="s">
        <v>95</v>
      </c>
      <c r="E12" s="88">
        <v>45756</v>
      </c>
      <c r="F12" s="87">
        <v>45759</v>
      </c>
      <c r="G12" s="100">
        <v>45759</v>
      </c>
      <c r="H12" s="82" t="s">
        <v>16</v>
      </c>
      <c r="I12" s="72" t="s">
        <v>655</v>
      </c>
      <c r="J12" s="72" t="s">
        <v>656</v>
      </c>
      <c r="K12" s="72" t="s">
        <v>417</v>
      </c>
      <c r="M12" s="70"/>
    </row>
    <row r="13" spans="1:13" ht="15.75" customHeight="1" x14ac:dyDescent="0.25">
      <c r="A13" s="69" t="s">
        <v>12</v>
      </c>
      <c r="B13" s="69" t="s">
        <v>20</v>
      </c>
      <c r="C13" s="69" t="s">
        <v>256</v>
      </c>
      <c r="D13" s="72" t="s">
        <v>657</v>
      </c>
      <c r="E13" s="79">
        <v>45720</v>
      </c>
      <c r="F13" s="87">
        <v>45724</v>
      </c>
      <c r="G13" s="100" t="s">
        <v>241</v>
      </c>
      <c r="H13" s="100" t="s">
        <v>241</v>
      </c>
      <c r="I13" s="72"/>
      <c r="J13" s="72"/>
      <c r="K13" s="72"/>
      <c r="M13" s="70"/>
    </row>
    <row r="14" spans="1:13" ht="15.75" customHeight="1" x14ac:dyDescent="0.25">
      <c r="A14" s="69" t="s">
        <v>394</v>
      </c>
      <c r="B14" s="69" t="s">
        <v>13</v>
      </c>
      <c r="C14" s="69" t="s">
        <v>419</v>
      </c>
      <c r="D14" s="72" t="s">
        <v>120</v>
      </c>
      <c r="E14" s="88">
        <v>45714</v>
      </c>
      <c r="F14" s="87">
        <v>45718</v>
      </c>
      <c r="G14" s="100">
        <v>45718</v>
      </c>
      <c r="H14" s="82" t="s">
        <v>16</v>
      </c>
      <c r="I14" s="72" t="s">
        <v>183</v>
      </c>
      <c r="J14" s="72" t="s">
        <v>184</v>
      </c>
      <c r="K14" s="72" t="s">
        <v>185</v>
      </c>
      <c r="M14" s="70"/>
    </row>
    <row r="15" spans="1:13" ht="15.75" customHeight="1" x14ac:dyDescent="0.25">
      <c r="A15" s="69" t="s">
        <v>52</v>
      </c>
      <c r="B15" s="69" t="s">
        <v>13</v>
      </c>
      <c r="C15" s="69" t="s">
        <v>242</v>
      </c>
      <c r="D15" s="72" t="s">
        <v>658</v>
      </c>
      <c r="E15" s="87">
        <v>45785</v>
      </c>
      <c r="F15" s="87">
        <v>45787</v>
      </c>
      <c r="G15" s="100" t="s">
        <v>241</v>
      </c>
      <c r="H15" s="100" t="s">
        <v>241</v>
      </c>
      <c r="I15" s="72"/>
      <c r="J15" s="72"/>
      <c r="K15" s="72"/>
      <c r="M15" s="70"/>
    </row>
    <row r="16" spans="1:13" ht="15.75" customHeight="1" x14ac:dyDescent="0.25">
      <c r="A16" s="71" t="s">
        <v>12</v>
      </c>
      <c r="B16" s="69" t="s">
        <v>20</v>
      </c>
      <c r="C16" s="69" t="s">
        <v>791</v>
      </c>
      <c r="D16" s="69" t="s">
        <v>659</v>
      </c>
      <c r="E16" s="79">
        <v>45567</v>
      </c>
      <c r="F16" s="87">
        <v>45570</v>
      </c>
      <c r="G16" s="81">
        <v>45570</v>
      </c>
      <c r="H16" s="82" t="s">
        <v>16</v>
      </c>
      <c r="I16" s="72" t="s">
        <v>428</v>
      </c>
      <c r="J16" s="72" t="s">
        <v>65</v>
      </c>
      <c r="K16" s="72" t="s">
        <v>66</v>
      </c>
      <c r="M16" s="70"/>
    </row>
    <row r="17" spans="1:13" ht="15.75" customHeight="1" x14ac:dyDescent="0.25">
      <c r="A17" s="69" t="s">
        <v>25</v>
      </c>
      <c r="B17" s="69" t="s">
        <v>13</v>
      </c>
      <c r="C17" s="69" t="s">
        <v>112</v>
      </c>
      <c r="D17" s="72" t="s">
        <v>252</v>
      </c>
      <c r="E17" s="79">
        <v>45616</v>
      </c>
      <c r="F17" s="87">
        <v>45619</v>
      </c>
      <c r="G17" s="81">
        <v>45618</v>
      </c>
      <c r="H17" s="82" t="s">
        <v>16</v>
      </c>
      <c r="I17" s="72" t="s">
        <v>432</v>
      </c>
      <c r="J17" s="72" t="s">
        <v>114</v>
      </c>
      <c r="K17" s="72" t="s">
        <v>660</v>
      </c>
      <c r="M17" s="70"/>
    </row>
    <row r="18" spans="1:13" ht="15.75" customHeight="1" x14ac:dyDescent="0.25">
      <c r="A18" s="69" t="s">
        <v>25</v>
      </c>
      <c r="B18" s="69" t="s">
        <v>20</v>
      </c>
      <c r="C18" s="69" t="s">
        <v>26</v>
      </c>
      <c r="D18" s="72" t="s">
        <v>120</v>
      </c>
      <c r="E18" s="88">
        <v>45560</v>
      </c>
      <c r="F18" s="87">
        <v>45563</v>
      </c>
      <c r="G18" s="80">
        <v>45563</v>
      </c>
      <c r="H18" s="82" t="s">
        <v>16</v>
      </c>
      <c r="I18" s="72" t="s">
        <v>28</v>
      </c>
      <c r="J18" s="72" t="s">
        <v>71</v>
      </c>
      <c r="K18" s="72" t="s">
        <v>29</v>
      </c>
      <c r="M18" s="70"/>
    </row>
    <row r="19" spans="1:13" ht="15.75" customHeight="1" x14ac:dyDescent="0.25">
      <c r="A19" s="69" t="s">
        <v>399</v>
      </c>
      <c r="B19" s="69" t="s">
        <v>13</v>
      </c>
      <c r="C19" s="69" t="s">
        <v>296</v>
      </c>
      <c r="D19" s="69" t="s">
        <v>161</v>
      </c>
      <c r="E19" s="88">
        <v>45762</v>
      </c>
      <c r="F19" s="87">
        <v>45766</v>
      </c>
      <c r="G19" s="100">
        <v>45757</v>
      </c>
      <c r="H19" s="82" t="s">
        <v>16</v>
      </c>
      <c r="I19" s="72" t="s">
        <v>187</v>
      </c>
      <c r="J19" s="72" t="s">
        <v>402</v>
      </c>
      <c r="K19" s="72" t="s">
        <v>435</v>
      </c>
      <c r="M19" s="30"/>
    </row>
    <row r="20" spans="1:13" ht="15.75" customHeight="1" x14ac:dyDescent="0.25">
      <c r="A20" s="69" t="s">
        <v>399</v>
      </c>
      <c r="B20" s="69" t="s">
        <v>20</v>
      </c>
      <c r="C20" s="69" t="s">
        <v>792</v>
      </c>
      <c r="D20" s="69" t="s">
        <v>347</v>
      </c>
      <c r="E20" s="79">
        <v>45621</v>
      </c>
      <c r="F20" s="87">
        <v>45626</v>
      </c>
      <c r="G20" s="81">
        <v>45626</v>
      </c>
      <c r="H20" s="82" t="s">
        <v>16</v>
      </c>
      <c r="I20" s="72" t="s">
        <v>132</v>
      </c>
      <c r="J20" s="72" t="s">
        <v>37</v>
      </c>
      <c r="K20" s="72" t="s">
        <v>134</v>
      </c>
      <c r="M20" s="70"/>
    </row>
    <row r="21" spans="1:13" ht="15.75" customHeight="1" x14ac:dyDescent="0.25">
      <c r="A21" s="69" t="s">
        <v>394</v>
      </c>
      <c r="B21" s="69" t="s">
        <v>20</v>
      </c>
      <c r="C21" s="69" t="s">
        <v>244</v>
      </c>
      <c r="D21" s="72" t="s">
        <v>661</v>
      </c>
      <c r="E21" s="88">
        <v>45747</v>
      </c>
      <c r="F21" s="87">
        <v>45752</v>
      </c>
      <c r="G21" s="100">
        <v>45749</v>
      </c>
      <c r="H21" s="82" t="s">
        <v>16</v>
      </c>
      <c r="I21" s="72" t="s">
        <v>246</v>
      </c>
      <c r="J21" s="72" t="s">
        <v>662</v>
      </c>
      <c r="K21" s="72" t="s">
        <v>185</v>
      </c>
      <c r="M21" s="70"/>
    </row>
    <row r="22" spans="1:13" ht="15.75" customHeight="1" x14ac:dyDescent="0.25">
      <c r="A22" s="69" t="s">
        <v>394</v>
      </c>
      <c r="B22" s="69" t="s">
        <v>13</v>
      </c>
      <c r="C22" s="69" t="s">
        <v>378</v>
      </c>
      <c r="D22" s="72" t="s">
        <v>78</v>
      </c>
      <c r="E22" s="87">
        <v>45596</v>
      </c>
      <c r="F22" s="87">
        <v>45599</v>
      </c>
      <c r="G22" s="100" t="s">
        <v>241</v>
      </c>
      <c r="H22" s="100" t="s">
        <v>241</v>
      </c>
      <c r="I22" s="72"/>
      <c r="J22" s="72"/>
      <c r="K22" s="72"/>
      <c r="M22" s="70"/>
    </row>
    <row r="23" spans="1:13" ht="15.75" customHeight="1" x14ac:dyDescent="0.25">
      <c r="A23" s="69" t="s">
        <v>25</v>
      </c>
      <c r="B23" s="69" t="s">
        <v>13</v>
      </c>
      <c r="C23" s="69" t="s">
        <v>253</v>
      </c>
      <c r="D23" s="72" t="s">
        <v>95</v>
      </c>
      <c r="E23" s="88">
        <v>45743</v>
      </c>
      <c r="F23" s="87">
        <v>45745</v>
      </c>
      <c r="G23" s="100">
        <v>45745</v>
      </c>
      <c r="H23" s="82" t="s">
        <v>16</v>
      </c>
      <c r="I23" s="72" t="s">
        <v>146</v>
      </c>
      <c r="J23" s="72" t="s">
        <v>147</v>
      </c>
      <c r="K23" s="72" t="s">
        <v>254</v>
      </c>
      <c r="M23" s="70"/>
    </row>
    <row r="24" spans="1:13" ht="15.75" customHeight="1" x14ac:dyDescent="0.25">
      <c r="A24" s="69" t="s">
        <v>25</v>
      </c>
      <c r="B24" s="69" t="s">
        <v>13</v>
      </c>
      <c r="C24" s="69" t="s">
        <v>239</v>
      </c>
      <c r="D24" s="69" t="s">
        <v>663</v>
      </c>
      <c r="E24" s="79">
        <v>45784</v>
      </c>
      <c r="F24" s="79">
        <v>45787</v>
      </c>
      <c r="G24" s="100">
        <v>45785</v>
      </c>
      <c r="H24" s="82" t="s">
        <v>16</v>
      </c>
      <c r="I24" s="72" t="s">
        <v>250</v>
      </c>
      <c r="J24" s="72" t="s">
        <v>29</v>
      </c>
      <c r="K24" s="72" t="s">
        <v>370</v>
      </c>
      <c r="M24" s="70"/>
    </row>
    <row r="25" spans="1:13" ht="15.75" customHeight="1" x14ac:dyDescent="0.25">
      <c r="A25" s="69" t="s">
        <v>394</v>
      </c>
      <c r="B25" s="69" t="s">
        <v>20</v>
      </c>
      <c r="C25" s="69" t="s">
        <v>793</v>
      </c>
      <c r="D25" s="72" t="s">
        <v>99</v>
      </c>
      <c r="E25" s="88">
        <v>45616</v>
      </c>
      <c r="F25" s="87">
        <v>45619</v>
      </c>
      <c r="G25" s="81">
        <v>45619</v>
      </c>
      <c r="H25" s="82" t="s">
        <v>16</v>
      </c>
      <c r="I25" s="72" t="s">
        <v>118</v>
      </c>
      <c r="J25" s="72" t="s">
        <v>209</v>
      </c>
      <c r="K25" s="72" t="s">
        <v>445</v>
      </c>
      <c r="M25" s="70"/>
    </row>
    <row r="26" spans="1:13" ht="15.75" customHeight="1" x14ac:dyDescent="0.25">
      <c r="A26" s="69" t="s">
        <v>43</v>
      </c>
      <c r="B26" s="69" t="s">
        <v>13</v>
      </c>
      <c r="C26" s="69" t="s">
        <v>794</v>
      </c>
      <c r="D26" s="69" t="s">
        <v>95</v>
      </c>
      <c r="E26" s="88">
        <v>45745</v>
      </c>
      <c r="F26" s="87">
        <v>45750</v>
      </c>
      <c r="G26" s="100">
        <v>45749</v>
      </c>
      <c r="H26" s="82" t="s">
        <v>16</v>
      </c>
      <c r="I26" s="72" t="s">
        <v>664</v>
      </c>
      <c r="J26" s="72" t="s">
        <v>665</v>
      </c>
      <c r="K26" s="72" t="s">
        <v>447</v>
      </c>
      <c r="M26" s="70"/>
    </row>
    <row r="27" spans="1:13" ht="15.75" customHeight="1" x14ac:dyDescent="0.25">
      <c r="A27" s="45" t="s">
        <v>52</v>
      </c>
      <c r="B27" s="45" t="s">
        <v>20</v>
      </c>
      <c r="C27" s="45" t="s">
        <v>292</v>
      </c>
      <c r="D27" s="45" t="s">
        <v>364</v>
      </c>
      <c r="E27" s="88">
        <v>45755</v>
      </c>
      <c r="F27" s="87">
        <v>45759</v>
      </c>
      <c r="G27" s="100">
        <v>45755</v>
      </c>
      <c r="H27" s="82" t="s">
        <v>16</v>
      </c>
      <c r="I27" s="45" t="s">
        <v>294</v>
      </c>
      <c r="J27" s="45" t="s">
        <v>294</v>
      </c>
      <c r="K27" s="45" t="s">
        <v>666</v>
      </c>
      <c r="M27" s="70"/>
    </row>
    <row r="28" spans="1:13" x14ac:dyDescent="0.25">
      <c r="A28" s="69" t="s">
        <v>25</v>
      </c>
      <c r="B28" s="69" t="s">
        <v>13</v>
      </c>
      <c r="C28" s="69" t="s">
        <v>144</v>
      </c>
      <c r="D28" s="72" t="s">
        <v>78</v>
      </c>
      <c r="E28" s="87">
        <v>45686</v>
      </c>
      <c r="F28" s="87">
        <v>45689</v>
      </c>
      <c r="G28" s="100">
        <v>45686</v>
      </c>
      <c r="H28" s="82" t="s">
        <v>16</v>
      </c>
      <c r="I28" s="72" t="s">
        <v>146</v>
      </c>
      <c r="J28" s="72" t="s">
        <v>147</v>
      </c>
      <c r="K28" s="72" t="s">
        <v>71</v>
      </c>
      <c r="M28" s="70" t="s">
        <v>622</v>
      </c>
    </row>
    <row r="29" spans="1:13" x14ac:dyDescent="0.25">
      <c r="A29" s="69" t="s">
        <v>43</v>
      </c>
      <c r="B29" s="69" t="s">
        <v>20</v>
      </c>
      <c r="C29" s="69" t="s">
        <v>796</v>
      </c>
      <c r="D29" s="69" t="s">
        <v>95</v>
      </c>
      <c r="E29" s="87">
        <v>45608</v>
      </c>
      <c r="F29" s="87">
        <v>45612</v>
      </c>
      <c r="G29" s="81">
        <v>45609</v>
      </c>
      <c r="H29" s="82" t="s">
        <v>16</v>
      </c>
      <c r="I29" s="72" t="s">
        <v>667</v>
      </c>
      <c r="J29" s="72" t="s">
        <v>454</v>
      </c>
      <c r="K29" s="72" t="s">
        <v>453</v>
      </c>
      <c r="M29" s="70" t="s">
        <v>668</v>
      </c>
    </row>
    <row r="30" spans="1:13" x14ac:dyDescent="0.25">
      <c r="A30" s="69" t="s">
        <v>43</v>
      </c>
      <c r="B30" s="69" t="s">
        <v>13</v>
      </c>
      <c r="C30" s="69" t="s">
        <v>800</v>
      </c>
      <c r="D30" s="72" t="s">
        <v>48</v>
      </c>
      <c r="E30" s="88">
        <v>45756</v>
      </c>
      <c r="F30" s="87">
        <v>45759</v>
      </c>
      <c r="G30" s="100">
        <v>45756</v>
      </c>
      <c r="H30" s="85" t="s">
        <v>16</v>
      </c>
      <c r="I30" s="72" t="s">
        <v>255</v>
      </c>
      <c r="J30" s="72" t="s">
        <v>74</v>
      </c>
      <c r="K30" s="72" t="s">
        <v>81</v>
      </c>
      <c r="M30" s="70"/>
    </row>
    <row r="31" spans="1:13" x14ac:dyDescent="0.25">
      <c r="A31" s="69" t="s">
        <v>43</v>
      </c>
      <c r="B31" s="69" t="s">
        <v>20</v>
      </c>
      <c r="C31" s="69" t="s">
        <v>802</v>
      </c>
      <c r="D31" s="72" t="s">
        <v>99</v>
      </c>
      <c r="E31" s="79">
        <v>45769</v>
      </c>
      <c r="F31" s="87">
        <v>45773</v>
      </c>
      <c r="G31" s="100">
        <v>45770</v>
      </c>
      <c r="H31" s="82" t="s">
        <v>16</v>
      </c>
      <c r="I31" s="72" t="s">
        <v>302</v>
      </c>
      <c r="J31" s="72" t="s">
        <v>88</v>
      </c>
      <c r="K31" s="72" t="s">
        <v>303</v>
      </c>
      <c r="M31" s="70"/>
    </row>
    <row r="32" spans="1:13" x14ac:dyDescent="0.25">
      <c r="A32" s="69" t="s">
        <v>43</v>
      </c>
      <c r="B32" s="69" t="s">
        <v>13</v>
      </c>
      <c r="C32" s="69" t="s">
        <v>44</v>
      </c>
      <c r="D32" s="72" t="s">
        <v>347</v>
      </c>
      <c r="E32" s="79">
        <v>45581</v>
      </c>
      <c r="F32" s="87">
        <v>45585</v>
      </c>
      <c r="G32" s="81">
        <v>45585</v>
      </c>
      <c r="H32" s="82" t="s">
        <v>16</v>
      </c>
      <c r="I32" s="72" t="s">
        <v>83</v>
      </c>
      <c r="J32" s="72" t="s">
        <v>45</v>
      </c>
      <c r="K32" s="72" t="s">
        <v>566</v>
      </c>
      <c r="M32" s="70" t="s">
        <v>669</v>
      </c>
    </row>
    <row r="33" spans="1:13" x14ac:dyDescent="0.25">
      <c r="A33" s="69" t="s">
        <v>25</v>
      </c>
      <c r="B33" s="69" t="s">
        <v>13</v>
      </c>
      <c r="C33" s="69" t="s">
        <v>670</v>
      </c>
      <c r="D33" s="69" t="s">
        <v>671</v>
      </c>
      <c r="E33" s="88">
        <v>45769</v>
      </c>
      <c r="F33" s="87">
        <v>45773</v>
      </c>
      <c r="G33" s="100">
        <v>45771</v>
      </c>
      <c r="H33" s="82" t="s">
        <v>16</v>
      </c>
      <c r="I33" s="72" t="s">
        <v>672</v>
      </c>
      <c r="J33" s="72" t="s">
        <v>673</v>
      </c>
      <c r="K33" s="72" t="s">
        <v>28</v>
      </c>
      <c r="M33" s="70"/>
    </row>
    <row r="34" spans="1:13" x14ac:dyDescent="0.25">
      <c r="A34" s="69" t="s">
        <v>394</v>
      </c>
      <c r="B34" s="69" t="s">
        <v>20</v>
      </c>
      <c r="C34" s="69" t="s">
        <v>283</v>
      </c>
      <c r="D34" s="69" t="s">
        <v>166</v>
      </c>
      <c r="E34" s="79">
        <v>45749</v>
      </c>
      <c r="F34" s="87">
        <v>45752</v>
      </c>
      <c r="G34" s="100">
        <v>45752</v>
      </c>
      <c r="H34" s="82" t="s">
        <v>16</v>
      </c>
      <c r="I34" s="72" t="s">
        <v>674</v>
      </c>
      <c r="J34" s="72" t="s">
        <v>29</v>
      </c>
      <c r="K34" s="72" t="s">
        <v>675</v>
      </c>
      <c r="M34" s="70" t="s">
        <v>676</v>
      </c>
    </row>
    <row r="35" spans="1:13" x14ac:dyDescent="0.25">
      <c r="A35" s="69" t="s">
        <v>399</v>
      </c>
      <c r="B35" s="69" t="s">
        <v>13</v>
      </c>
      <c r="C35" s="69" t="s">
        <v>304</v>
      </c>
      <c r="D35" s="72" t="s">
        <v>677</v>
      </c>
      <c r="E35" s="88">
        <v>45769</v>
      </c>
      <c r="F35" s="87">
        <v>45773</v>
      </c>
      <c r="G35" s="100">
        <v>45770</v>
      </c>
      <c r="H35" s="82" t="s">
        <v>16</v>
      </c>
      <c r="I35" s="72" t="s">
        <v>483</v>
      </c>
      <c r="J35" s="72" t="s">
        <v>96</v>
      </c>
      <c r="K35" s="72" t="s">
        <v>484</v>
      </c>
      <c r="M35" s="70"/>
    </row>
    <row r="36" spans="1:13" x14ac:dyDescent="0.25">
      <c r="A36" s="69" t="s">
        <v>25</v>
      </c>
      <c r="B36" s="71" t="s">
        <v>13</v>
      </c>
      <c r="C36" s="69" t="s">
        <v>379</v>
      </c>
      <c r="D36" s="69" t="s">
        <v>259</v>
      </c>
      <c r="E36" s="87">
        <v>45777</v>
      </c>
      <c r="F36" s="87">
        <v>45781</v>
      </c>
      <c r="G36" s="100" t="s">
        <v>241</v>
      </c>
      <c r="H36" s="100" t="s">
        <v>241</v>
      </c>
      <c r="I36" s="72"/>
      <c r="J36" s="72"/>
      <c r="K36" s="72"/>
      <c r="M36" s="45" t="s">
        <v>543</v>
      </c>
    </row>
    <row r="37" spans="1:13" x14ac:dyDescent="0.25">
      <c r="A37" s="69" t="s">
        <v>43</v>
      </c>
      <c r="B37" s="69" t="s">
        <v>20</v>
      </c>
      <c r="C37" s="69" t="s">
        <v>805</v>
      </c>
      <c r="D37" s="72" t="s">
        <v>169</v>
      </c>
      <c r="E37" s="87">
        <v>45707</v>
      </c>
      <c r="F37" s="87">
        <v>45710</v>
      </c>
      <c r="G37" s="100">
        <v>45707</v>
      </c>
      <c r="H37" s="82" t="s">
        <v>16</v>
      </c>
      <c r="I37" s="72" t="s">
        <v>79</v>
      </c>
      <c r="J37" s="72" t="s">
        <v>678</v>
      </c>
      <c r="K37" s="72" t="s">
        <v>79</v>
      </c>
      <c r="M37" s="70" t="s">
        <v>679</v>
      </c>
    </row>
    <row r="38" spans="1:13" x14ac:dyDescent="0.25">
      <c r="A38" s="69" t="s">
        <v>12</v>
      </c>
      <c r="B38" s="69" t="s">
        <v>13</v>
      </c>
      <c r="C38" s="69" t="s">
        <v>260</v>
      </c>
      <c r="D38" s="72" t="s">
        <v>680</v>
      </c>
      <c r="E38" s="87">
        <v>45519</v>
      </c>
      <c r="F38" s="87">
        <v>45528</v>
      </c>
      <c r="G38" s="80">
        <v>45526</v>
      </c>
      <c r="H38" s="82" t="s">
        <v>16</v>
      </c>
      <c r="I38" s="72" t="s">
        <v>681</v>
      </c>
      <c r="J38" s="72" t="s">
        <v>488</v>
      </c>
      <c r="K38" s="72" t="s">
        <v>682</v>
      </c>
      <c r="M38" s="70"/>
    </row>
    <row r="39" spans="1:13" x14ac:dyDescent="0.25">
      <c r="A39" s="69" t="s">
        <v>394</v>
      </c>
      <c r="B39" s="69" t="s">
        <v>13</v>
      </c>
      <c r="C39" s="69" t="s">
        <v>264</v>
      </c>
      <c r="D39" s="72" t="s">
        <v>249</v>
      </c>
      <c r="E39" s="87">
        <v>45598</v>
      </c>
      <c r="F39" s="87">
        <v>45605</v>
      </c>
      <c r="G39" s="80">
        <v>45599</v>
      </c>
      <c r="H39" s="82" t="s">
        <v>16</v>
      </c>
      <c r="I39" s="72" t="s">
        <v>683</v>
      </c>
      <c r="J39" s="72" t="s">
        <v>684</v>
      </c>
      <c r="K39" s="72" t="s">
        <v>342</v>
      </c>
      <c r="M39" s="70"/>
    </row>
    <row r="40" spans="1:13" x14ac:dyDescent="0.25">
      <c r="A40" s="69" t="s">
        <v>12</v>
      </c>
      <c r="B40" s="69" t="s">
        <v>13</v>
      </c>
      <c r="C40" s="69" t="s">
        <v>321</v>
      </c>
      <c r="D40" s="69" t="s">
        <v>626</v>
      </c>
      <c r="E40" s="79">
        <v>45757</v>
      </c>
      <c r="F40" s="79">
        <v>45759</v>
      </c>
      <c r="G40" s="100" t="s">
        <v>241</v>
      </c>
      <c r="H40" s="100" t="s">
        <v>241</v>
      </c>
      <c r="I40" s="72"/>
      <c r="J40" s="72"/>
      <c r="K40" s="72"/>
      <c r="M40" s="70"/>
    </row>
    <row r="41" spans="1:13" x14ac:dyDescent="0.25">
      <c r="A41" s="69" t="s">
        <v>25</v>
      </c>
      <c r="B41" s="69" t="s">
        <v>20</v>
      </c>
      <c r="C41" s="69" t="s">
        <v>309</v>
      </c>
      <c r="D41" s="69" t="s">
        <v>169</v>
      </c>
      <c r="E41" s="79">
        <v>45777</v>
      </c>
      <c r="F41" s="87">
        <v>45781</v>
      </c>
      <c r="G41" s="100">
        <v>45781</v>
      </c>
      <c r="H41" s="85" t="s">
        <v>16</v>
      </c>
      <c r="I41" s="72" t="s">
        <v>685</v>
      </c>
      <c r="J41" s="72" t="s">
        <v>498</v>
      </c>
      <c r="K41" s="72" t="s">
        <v>71</v>
      </c>
      <c r="M41" s="70"/>
    </row>
    <row r="42" spans="1:13" ht="15.75" customHeight="1" x14ac:dyDescent="0.25">
      <c r="A42" s="69" t="s">
        <v>25</v>
      </c>
      <c r="B42" s="69" t="s">
        <v>13</v>
      </c>
      <c r="C42" s="69" t="s">
        <v>380</v>
      </c>
      <c r="D42" s="72" t="s">
        <v>78</v>
      </c>
      <c r="E42" s="87">
        <v>45625</v>
      </c>
      <c r="F42" s="87">
        <v>45633</v>
      </c>
      <c r="G42" s="81">
        <v>45626</v>
      </c>
      <c r="H42" s="82" t="s">
        <v>16</v>
      </c>
      <c r="I42" s="72" t="s">
        <v>686</v>
      </c>
      <c r="J42" s="72" t="s">
        <v>687</v>
      </c>
      <c r="K42" s="72" t="s">
        <v>688</v>
      </c>
      <c r="M42" s="70"/>
    </row>
    <row r="43" spans="1:13" ht="15.75" customHeight="1" x14ac:dyDescent="0.25">
      <c r="A43" s="69" t="s">
        <v>43</v>
      </c>
      <c r="B43" s="69" t="s">
        <v>13</v>
      </c>
      <c r="C43" s="69" t="s">
        <v>807</v>
      </c>
      <c r="D43" s="72" t="s">
        <v>22</v>
      </c>
      <c r="E43" s="79">
        <v>45741</v>
      </c>
      <c r="F43" s="87">
        <v>45745</v>
      </c>
      <c r="G43" s="100">
        <v>45742</v>
      </c>
      <c r="H43" s="82" t="s">
        <v>16</v>
      </c>
      <c r="I43" s="72" t="s">
        <v>689</v>
      </c>
      <c r="J43" s="72" t="s">
        <v>74</v>
      </c>
      <c r="K43" s="72" t="s">
        <v>453</v>
      </c>
      <c r="M43" s="70"/>
    </row>
    <row r="44" spans="1:13" ht="15.75" customHeight="1" x14ac:dyDescent="0.25">
      <c r="A44" s="69" t="s">
        <v>399</v>
      </c>
      <c r="B44" s="69" t="s">
        <v>20</v>
      </c>
      <c r="C44" s="69" t="s">
        <v>277</v>
      </c>
      <c r="D44" s="72" t="s">
        <v>225</v>
      </c>
      <c r="E44" s="79">
        <v>45754</v>
      </c>
      <c r="F44" s="87">
        <v>45759</v>
      </c>
      <c r="G44" s="100">
        <v>45754</v>
      </c>
      <c r="H44" s="85" t="s">
        <v>16</v>
      </c>
      <c r="I44" s="73" t="s">
        <v>504</v>
      </c>
      <c r="J44" s="69" t="s">
        <v>37</v>
      </c>
      <c r="K44" s="69" t="s">
        <v>505</v>
      </c>
      <c r="M44" s="70"/>
    </row>
    <row r="45" spans="1:13" ht="15.75" customHeight="1" x14ac:dyDescent="0.25">
      <c r="A45" s="69" t="s">
        <v>25</v>
      </c>
      <c r="B45" s="69" t="s">
        <v>20</v>
      </c>
      <c r="C45" s="69" t="s">
        <v>806</v>
      </c>
      <c r="D45" s="72" t="s">
        <v>141</v>
      </c>
      <c r="E45" s="79">
        <v>45692</v>
      </c>
      <c r="F45" s="87">
        <v>45696</v>
      </c>
      <c r="G45" s="81">
        <v>45696</v>
      </c>
      <c r="H45" s="82" t="s">
        <v>16</v>
      </c>
      <c r="I45" s="72" t="s">
        <v>690</v>
      </c>
      <c r="J45" s="99" t="s">
        <v>691</v>
      </c>
      <c r="K45" s="72" t="s">
        <v>692</v>
      </c>
      <c r="M45" s="70"/>
    </row>
    <row r="46" spans="1:13" ht="15.75" customHeight="1" x14ac:dyDescent="0.25">
      <c r="A46" s="69" t="s">
        <v>43</v>
      </c>
      <c r="B46" s="69" t="s">
        <v>20</v>
      </c>
      <c r="C46" s="69" t="s">
        <v>808</v>
      </c>
      <c r="D46" s="69" t="s">
        <v>610</v>
      </c>
      <c r="E46" s="78">
        <v>45601</v>
      </c>
      <c r="F46" s="87">
        <v>45605</v>
      </c>
      <c r="G46" s="81">
        <v>45604</v>
      </c>
      <c r="H46" s="82" t="s">
        <v>16</v>
      </c>
      <c r="I46" s="72" t="s">
        <v>79</v>
      </c>
      <c r="J46" s="72" t="s">
        <v>80</v>
      </c>
      <c r="K46" s="72" t="s">
        <v>513</v>
      </c>
      <c r="M46" s="69"/>
    </row>
    <row r="47" spans="1:13" ht="15.75" customHeight="1" x14ac:dyDescent="0.25">
      <c r="A47" s="69" t="s">
        <v>399</v>
      </c>
      <c r="B47" s="69" t="s">
        <v>20</v>
      </c>
      <c r="C47" s="69" t="s">
        <v>21</v>
      </c>
      <c r="D47" s="69" t="s">
        <v>693</v>
      </c>
      <c r="E47" s="79">
        <v>45539</v>
      </c>
      <c r="F47" s="87">
        <v>45542</v>
      </c>
      <c r="G47" s="80">
        <v>45542</v>
      </c>
      <c r="H47" s="82" t="s">
        <v>16</v>
      </c>
      <c r="I47" s="72" t="s">
        <v>23</v>
      </c>
      <c r="J47" s="72" t="s">
        <v>516</v>
      </c>
      <c r="K47" s="72" t="s">
        <v>23</v>
      </c>
      <c r="M47" s="70"/>
    </row>
    <row r="48" spans="1:13" ht="15.75" customHeight="1" x14ac:dyDescent="0.25">
      <c r="A48" s="69" t="s">
        <v>43</v>
      </c>
      <c r="B48" s="69" t="s">
        <v>20</v>
      </c>
      <c r="C48" s="69" t="s">
        <v>810</v>
      </c>
      <c r="D48" s="69" t="s">
        <v>694</v>
      </c>
      <c r="E48" s="79">
        <v>45769</v>
      </c>
      <c r="F48" s="87">
        <v>45773</v>
      </c>
      <c r="G48" s="100">
        <v>45769</v>
      </c>
      <c r="H48" s="85" t="s">
        <v>16</v>
      </c>
      <c r="I48" s="72" t="s">
        <v>190</v>
      </c>
      <c r="J48" s="72" t="s">
        <v>194</v>
      </c>
      <c r="K48" s="72" t="s">
        <v>519</v>
      </c>
      <c r="M48" s="70" t="s">
        <v>695</v>
      </c>
    </row>
    <row r="49" spans="1:13" ht="15.75" customHeight="1" x14ac:dyDescent="0.25">
      <c r="A49" s="69" t="s">
        <v>399</v>
      </c>
      <c r="B49" s="69" t="s">
        <v>20</v>
      </c>
      <c r="C49" s="69" t="s">
        <v>366</v>
      </c>
      <c r="D49" s="72" t="s">
        <v>161</v>
      </c>
      <c r="E49" s="88">
        <v>45756</v>
      </c>
      <c r="F49" s="87">
        <v>45760</v>
      </c>
      <c r="G49" s="100">
        <v>45756</v>
      </c>
      <c r="H49" s="82" t="s">
        <v>16</v>
      </c>
      <c r="I49" s="72" t="s">
        <v>521</v>
      </c>
      <c r="J49" s="72" t="s">
        <v>155</v>
      </c>
      <c r="K49" s="72" t="s">
        <v>522</v>
      </c>
      <c r="M49" s="70"/>
    </row>
    <row r="50" spans="1:13" ht="15.75" customHeight="1" x14ac:dyDescent="0.25">
      <c r="A50" s="69" t="s">
        <v>43</v>
      </c>
      <c r="B50" s="69" t="s">
        <v>13</v>
      </c>
      <c r="C50" s="69" t="s">
        <v>368</v>
      </c>
      <c r="D50" s="72" t="s">
        <v>48</v>
      </c>
      <c r="E50" s="87">
        <v>45685</v>
      </c>
      <c r="F50" s="87">
        <v>45689</v>
      </c>
      <c r="G50" s="81">
        <v>45685</v>
      </c>
      <c r="H50" s="82" t="s">
        <v>16</v>
      </c>
      <c r="I50" s="72" t="s">
        <v>696</v>
      </c>
      <c r="J50" s="72" t="s">
        <v>697</v>
      </c>
      <c r="K50" s="72" t="s">
        <v>698</v>
      </c>
      <c r="M50" s="70"/>
    </row>
    <row r="51" spans="1:13" ht="15.75" customHeight="1" x14ac:dyDescent="0.25">
      <c r="A51" s="69" t="s">
        <v>394</v>
      </c>
      <c r="B51" s="69" t="s">
        <v>20</v>
      </c>
      <c r="C51" s="69" t="s">
        <v>153</v>
      </c>
      <c r="D51" s="72" t="s">
        <v>228</v>
      </c>
      <c r="E51" s="79">
        <v>45727</v>
      </c>
      <c r="F51" s="87">
        <v>45729</v>
      </c>
      <c r="G51" s="100">
        <v>45729</v>
      </c>
      <c r="H51" s="82" t="s">
        <v>16</v>
      </c>
      <c r="I51" s="72" t="s">
        <v>636</v>
      </c>
      <c r="J51" s="72" t="s">
        <v>155</v>
      </c>
      <c r="K51" s="72" t="s">
        <v>699</v>
      </c>
      <c r="M51" s="70"/>
    </row>
    <row r="52" spans="1:13" ht="15.75" customHeight="1" x14ac:dyDescent="0.25">
      <c r="A52" s="69" t="s">
        <v>43</v>
      </c>
      <c r="B52" s="69" t="s">
        <v>13</v>
      </c>
      <c r="C52" s="69" t="s">
        <v>311</v>
      </c>
      <c r="D52" s="72" t="s">
        <v>677</v>
      </c>
      <c r="E52" s="79">
        <v>45755</v>
      </c>
      <c r="F52" s="87">
        <v>45759</v>
      </c>
      <c r="G52" s="100">
        <v>45755</v>
      </c>
      <c r="H52" s="82" t="s">
        <v>16</v>
      </c>
      <c r="I52" s="72" t="s">
        <v>700</v>
      </c>
      <c r="J52" s="72" t="s">
        <v>526</v>
      </c>
      <c r="K52" s="72" t="s">
        <v>701</v>
      </c>
      <c r="M52" s="70"/>
    </row>
    <row r="53" spans="1:13" ht="15.75" customHeight="1" x14ac:dyDescent="0.25">
      <c r="A53" s="69" t="s">
        <v>43</v>
      </c>
      <c r="B53" s="69" t="s">
        <v>20</v>
      </c>
      <c r="C53" s="69" t="s">
        <v>811</v>
      </c>
      <c r="D53" s="69" t="s">
        <v>286</v>
      </c>
      <c r="E53" s="87">
        <v>45594</v>
      </c>
      <c r="F53" s="87">
        <v>45598</v>
      </c>
      <c r="G53" s="81">
        <v>45598</v>
      </c>
      <c r="H53" s="82" t="s">
        <v>16</v>
      </c>
      <c r="I53" s="72" t="s">
        <v>255</v>
      </c>
      <c r="J53" s="72" t="s">
        <v>60</v>
      </c>
      <c r="K53" s="72" t="s">
        <v>529</v>
      </c>
      <c r="M53" s="70"/>
    </row>
    <row r="54" spans="1:13" ht="15.75" customHeight="1" x14ac:dyDescent="0.25">
      <c r="A54" s="69" t="s">
        <v>394</v>
      </c>
      <c r="B54" s="69" t="s">
        <v>13</v>
      </c>
      <c r="C54" s="69" t="s">
        <v>381</v>
      </c>
      <c r="D54" s="69" t="s">
        <v>78</v>
      </c>
      <c r="E54" s="87">
        <v>45769</v>
      </c>
      <c r="F54" s="87">
        <v>45773</v>
      </c>
      <c r="G54" s="100" t="s">
        <v>241</v>
      </c>
      <c r="H54" s="100" t="s">
        <v>241</v>
      </c>
      <c r="I54" s="72"/>
      <c r="J54" s="72"/>
      <c r="K54" s="72"/>
      <c r="M54" s="70"/>
    </row>
    <row r="55" spans="1:13" ht="15.75" customHeight="1" x14ac:dyDescent="0.25">
      <c r="A55" s="101" t="s">
        <v>43</v>
      </c>
      <c r="B55" s="69" t="s">
        <v>20</v>
      </c>
      <c r="C55" s="69" t="s">
        <v>812</v>
      </c>
      <c r="D55" s="69" t="s">
        <v>358</v>
      </c>
      <c r="E55" s="79">
        <v>45776</v>
      </c>
      <c r="F55" s="87">
        <v>45780</v>
      </c>
      <c r="G55" s="100">
        <v>45776</v>
      </c>
      <c r="H55" s="82" t="s">
        <v>16</v>
      </c>
      <c r="I55" s="72" t="s">
        <v>319</v>
      </c>
      <c r="J55" s="72" t="s">
        <v>80</v>
      </c>
      <c r="K55" s="72" t="s">
        <v>702</v>
      </c>
      <c r="M55" s="70"/>
    </row>
    <row r="56" spans="1:13" ht="15.75" customHeight="1" x14ac:dyDescent="0.25">
      <c r="A56" s="69" t="s">
        <v>12</v>
      </c>
      <c r="B56" s="69" t="s">
        <v>13</v>
      </c>
      <c r="C56" s="69" t="s">
        <v>813</v>
      </c>
      <c r="D56" s="69" t="s">
        <v>249</v>
      </c>
      <c r="E56" s="87">
        <v>45629</v>
      </c>
      <c r="F56" s="87">
        <v>45634</v>
      </c>
      <c r="G56" s="81">
        <v>45633</v>
      </c>
      <c r="H56" s="82" t="s">
        <v>16</v>
      </c>
      <c r="I56" s="72" t="s">
        <v>703</v>
      </c>
      <c r="J56" s="72" t="s">
        <v>533</v>
      </c>
      <c r="K56" s="72" t="s">
        <v>703</v>
      </c>
      <c r="M56" s="70"/>
    </row>
    <row r="57" spans="1:13" ht="15.75" customHeight="1" x14ac:dyDescent="0.25">
      <c r="A57" s="71" t="s">
        <v>12</v>
      </c>
      <c r="B57" s="69" t="s">
        <v>13</v>
      </c>
      <c r="C57" s="69" t="s">
        <v>195</v>
      </c>
      <c r="D57" s="69" t="s">
        <v>653</v>
      </c>
      <c r="E57" s="88">
        <v>45720</v>
      </c>
      <c r="F57" s="87">
        <v>45724</v>
      </c>
      <c r="G57" s="100" t="s">
        <v>241</v>
      </c>
      <c r="H57" s="100" t="s">
        <v>241</v>
      </c>
      <c r="I57" s="72"/>
      <c r="J57" s="72"/>
      <c r="K57" s="72"/>
      <c r="M57" s="70"/>
    </row>
    <row r="58" spans="1:13" ht="15.75" customHeight="1" x14ac:dyDescent="0.25">
      <c r="A58" s="69" t="s">
        <v>394</v>
      </c>
      <c r="B58" s="69" t="s">
        <v>13</v>
      </c>
      <c r="C58" s="69" t="s">
        <v>814</v>
      </c>
      <c r="D58" s="72" t="s">
        <v>54</v>
      </c>
      <c r="E58" s="79">
        <v>45714</v>
      </c>
      <c r="F58" s="87">
        <v>45717</v>
      </c>
      <c r="G58" s="100">
        <v>45714</v>
      </c>
      <c r="H58" s="82" t="s">
        <v>16</v>
      </c>
      <c r="I58" s="72" t="s">
        <v>704</v>
      </c>
      <c r="J58" s="72" t="s">
        <v>705</v>
      </c>
      <c r="K58" s="72" t="s">
        <v>123</v>
      </c>
      <c r="M58" s="70" t="s">
        <v>706</v>
      </c>
    </row>
    <row r="59" spans="1:13" ht="15.75" customHeight="1" x14ac:dyDescent="0.25">
      <c r="A59" s="69" t="s">
        <v>394</v>
      </c>
      <c r="B59" s="69" t="s">
        <v>13</v>
      </c>
      <c r="C59" s="69" t="s">
        <v>218</v>
      </c>
      <c r="D59" s="72" t="s">
        <v>653</v>
      </c>
      <c r="E59" s="88">
        <v>45750</v>
      </c>
      <c r="F59" s="87">
        <v>45752</v>
      </c>
      <c r="G59" s="100">
        <v>45750</v>
      </c>
      <c r="H59" s="82" t="s">
        <v>16</v>
      </c>
      <c r="I59" s="72" t="s">
        <v>118</v>
      </c>
      <c r="J59" s="72" t="s">
        <v>184</v>
      </c>
      <c r="K59" s="72" t="s">
        <v>707</v>
      </c>
      <c r="M59" s="70"/>
    </row>
    <row r="60" spans="1:13" ht="15.75" customHeight="1" x14ac:dyDescent="0.25">
      <c r="A60" s="69" t="s">
        <v>12</v>
      </c>
      <c r="B60" s="69" t="s">
        <v>13</v>
      </c>
      <c r="C60" s="69" t="s">
        <v>198</v>
      </c>
      <c r="D60" s="69" t="s">
        <v>414</v>
      </c>
      <c r="E60" s="79">
        <v>45756</v>
      </c>
      <c r="F60" s="79">
        <v>45759</v>
      </c>
      <c r="G60" s="100">
        <v>45758</v>
      </c>
      <c r="H60" s="82" t="s">
        <v>16</v>
      </c>
      <c r="I60" s="72" t="s">
        <v>539</v>
      </c>
      <c r="J60" s="72" t="s">
        <v>201</v>
      </c>
      <c r="K60" s="72" t="s">
        <v>540</v>
      </c>
      <c r="M60" s="70" t="s">
        <v>622</v>
      </c>
    </row>
    <row r="61" spans="1:13" ht="15.75" customHeight="1" x14ac:dyDescent="0.25">
      <c r="A61" s="69" t="s">
        <v>43</v>
      </c>
      <c r="B61" s="69" t="s">
        <v>20</v>
      </c>
      <c r="C61" s="69" t="s">
        <v>165</v>
      </c>
      <c r="D61" s="72" t="s">
        <v>373</v>
      </c>
      <c r="E61" s="88">
        <v>45706</v>
      </c>
      <c r="F61" s="87">
        <v>45710</v>
      </c>
      <c r="G61" s="100">
        <v>45706</v>
      </c>
      <c r="H61" s="82" t="s">
        <v>16</v>
      </c>
      <c r="I61" s="72" t="s">
        <v>87</v>
      </c>
      <c r="J61" s="72" t="s">
        <v>50</v>
      </c>
      <c r="K61" s="72" t="s">
        <v>708</v>
      </c>
      <c r="M61" s="70" t="s">
        <v>669</v>
      </c>
    </row>
    <row r="62" spans="1:13" ht="15.75" customHeight="1" x14ac:dyDescent="0.25">
      <c r="A62" s="69" t="s">
        <v>25</v>
      </c>
      <c r="B62" s="69" t="s">
        <v>20</v>
      </c>
      <c r="C62" s="69" t="s">
        <v>817</v>
      </c>
      <c r="D62" s="69" t="s">
        <v>347</v>
      </c>
      <c r="E62" s="78">
        <v>45594</v>
      </c>
      <c r="F62" s="87">
        <v>45598</v>
      </c>
      <c r="G62" s="81">
        <v>45598</v>
      </c>
      <c r="H62" s="82" t="s">
        <v>16</v>
      </c>
      <c r="I62" s="74" t="s">
        <v>28</v>
      </c>
      <c r="J62" s="74" t="s">
        <v>29</v>
      </c>
      <c r="K62" s="74" t="s">
        <v>71</v>
      </c>
      <c r="M62" s="70"/>
    </row>
    <row r="63" spans="1:13" ht="15.75" customHeight="1" x14ac:dyDescent="0.25">
      <c r="A63" s="69" t="s">
        <v>394</v>
      </c>
      <c r="B63" s="69" t="s">
        <v>13</v>
      </c>
      <c r="C63" s="69" t="s">
        <v>818</v>
      </c>
      <c r="D63" s="72" t="s">
        <v>161</v>
      </c>
      <c r="E63" s="79">
        <v>45750</v>
      </c>
      <c r="F63" s="87">
        <v>45752</v>
      </c>
      <c r="G63" s="100">
        <v>45751</v>
      </c>
      <c r="H63" s="82" t="s">
        <v>16</v>
      </c>
      <c r="I63" s="74" t="s">
        <v>709</v>
      </c>
      <c r="J63" s="74" t="s">
        <v>209</v>
      </c>
      <c r="K63" s="74" t="s">
        <v>710</v>
      </c>
      <c r="M63" s="70"/>
    </row>
    <row r="64" spans="1:13" ht="15.75" customHeight="1" x14ac:dyDescent="0.25">
      <c r="A64" s="69" t="s">
        <v>394</v>
      </c>
      <c r="B64" s="69" t="s">
        <v>20</v>
      </c>
      <c r="C64" s="69" t="s">
        <v>215</v>
      </c>
      <c r="D64" s="72" t="s">
        <v>207</v>
      </c>
      <c r="E64" s="88">
        <v>45735</v>
      </c>
      <c r="F64" s="87">
        <v>45738</v>
      </c>
      <c r="G64" s="100">
        <v>45738</v>
      </c>
      <c r="H64" s="82" t="s">
        <v>16</v>
      </c>
      <c r="I64" s="92" t="s">
        <v>550</v>
      </c>
      <c r="J64" s="92" t="s">
        <v>209</v>
      </c>
      <c r="K64" s="92" t="s">
        <v>711</v>
      </c>
      <c r="M64" s="70"/>
    </row>
    <row r="65" spans="1:16" ht="15.75" customHeight="1" x14ac:dyDescent="0.25">
      <c r="A65" s="69" t="s">
        <v>43</v>
      </c>
      <c r="B65" s="69" t="s">
        <v>20</v>
      </c>
      <c r="C65" s="69" t="s">
        <v>819</v>
      </c>
      <c r="D65" s="72" t="s">
        <v>712</v>
      </c>
      <c r="E65" s="88">
        <v>45755</v>
      </c>
      <c r="F65" s="87">
        <v>45759</v>
      </c>
      <c r="G65" s="100">
        <v>45758</v>
      </c>
      <c r="H65" s="85" t="s">
        <v>16</v>
      </c>
      <c r="I65" s="72" t="s">
        <v>713</v>
      </c>
      <c r="J65" s="72" t="s">
        <v>714</v>
      </c>
      <c r="K65" s="92" t="s">
        <v>715</v>
      </c>
      <c r="M65" s="70"/>
    </row>
    <row r="66" spans="1:16" ht="15.75" customHeight="1" x14ac:dyDescent="0.25">
      <c r="A66" s="69" t="s">
        <v>394</v>
      </c>
      <c r="B66" s="69" t="s">
        <v>20</v>
      </c>
      <c r="C66" s="69" t="s">
        <v>67</v>
      </c>
      <c r="D66" s="72" t="s">
        <v>716</v>
      </c>
      <c r="E66" s="79">
        <v>45547</v>
      </c>
      <c r="F66" s="87">
        <v>45549</v>
      </c>
      <c r="G66" s="80">
        <v>45549</v>
      </c>
      <c r="H66" s="82" t="s">
        <v>16</v>
      </c>
      <c r="I66" s="72" t="s">
        <v>69</v>
      </c>
      <c r="J66" s="72" t="s">
        <v>717</v>
      </c>
      <c r="K66" s="72" t="s">
        <v>718</v>
      </c>
      <c r="M66" s="70"/>
    </row>
    <row r="67" spans="1:16" ht="15.75" customHeight="1" x14ac:dyDescent="0.25">
      <c r="A67" s="69" t="s">
        <v>394</v>
      </c>
      <c r="B67" s="69" t="s">
        <v>20</v>
      </c>
      <c r="C67" s="69" t="s">
        <v>67</v>
      </c>
      <c r="D67" s="72" t="s">
        <v>719</v>
      </c>
      <c r="E67" s="79">
        <v>45595</v>
      </c>
      <c r="F67" s="87">
        <v>45597</v>
      </c>
      <c r="G67" s="100" t="s">
        <v>241</v>
      </c>
      <c r="H67" s="100" t="s">
        <v>241</v>
      </c>
      <c r="I67" s="72"/>
      <c r="J67" s="72"/>
      <c r="K67" s="72"/>
      <c r="M67" s="70"/>
    </row>
    <row r="68" spans="1:16" ht="15.75" customHeight="1" x14ac:dyDescent="0.25">
      <c r="A68" s="69" t="s">
        <v>43</v>
      </c>
      <c r="B68" s="69" t="s">
        <v>13</v>
      </c>
      <c r="C68" s="69" t="s">
        <v>193</v>
      </c>
      <c r="D68" s="69" t="s">
        <v>262</v>
      </c>
      <c r="E68" s="79">
        <v>45731</v>
      </c>
      <c r="F68" s="87">
        <v>45738</v>
      </c>
      <c r="G68" s="100">
        <v>45735</v>
      </c>
      <c r="H68" s="82" t="s">
        <v>16</v>
      </c>
      <c r="I68" s="72" t="s">
        <v>59</v>
      </c>
      <c r="J68" s="72" t="s">
        <v>194</v>
      </c>
      <c r="K68" s="72" t="s">
        <v>519</v>
      </c>
      <c r="M68" s="45" t="s">
        <v>543</v>
      </c>
    </row>
    <row r="69" spans="1:16" ht="15.75" customHeight="1" x14ac:dyDescent="0.25">
      <c r="A69" s="69" t="s">
        <v>12</v>
      </c>
      <c r="B69" s="69" t="s">
        <v>20</v>
      </c>
      <c r="C69" s="69" t="s">
        <v>824</v>
      </c>
      <c r="D69" s="72" t="s">
        <v>104</v>
      </c>
      <c r="E69" s="88">
        <v>45749</v>
      </c>
      <c r="F69" s="87">
        <v>45752</v>
      </c>
      <c r="G69" s="100">
        <v>45749</v>
      </c>
      <c r="H69" s="82" t="s">
        <v>16</v>
      </c>
      <c r="I69" s="72" t="s">
        <v>720</v>
      </c>
      <c r="J69" s="72" t="s">
        <v>109</v>
      </c>
      <c r="K69" s="72" t="s">
        <v>721</v>
      </c>
      <c r="M69" s="70"/>
    </row>
    <row r="70" spans="1:16" ht="15.75" customHeight="1" x14ac:dyDescent="0.25">
      <c r="A70" s="69" t="s">
        <v>12</v>
      </c>
      <c r="B70" s="69" t="s">
        <v>20</v>
      </c>
      <c r="C70" s="69" t="s">
        <v>824</v>
      </c>
      <c r="D70" s="72" t="s">
        <v>99</v>
      </c>
      <c r="E70" s="88">
        <v>45608</v>
      </c>
      <c r="F70" s="87">
        <v>45612</v>
      </c>
      <c r="G70" s="81">
        <v>45616</v>
      </c>
      <c r="H70" s="82" t="s">
        <v>16</v>
      </c>
      <c r="I70" s="72" t="s">
        <v>108</v>
      </c>
      <c r="J70" s="72" t="s">
        <v>109</v>
      </c>
      <c r="K70" s="72" t="s">
        <v>355</v>
      </c>
      <c r="M70" s="70"/>
    </row>
    <row r="71" spans="1:16" ht="15.75" customHeight="1" x14ac:dyDescent="0.25">
      <c r="A71" s="69" t="s">
        <v>394</v>
      </c>
      <c r="B71" s="69" t="s">
        <v>13</v>
      </c>
      <c r="C71" s="69" t="s">
        <v>820</v>
      </c>
      <c r="D71" s="72" t="s">
        <v>48</v>
      </c>
      <c r="E71" s="79">
        <v>45733</v>
      </c>
      <c r="F71" s="87">
        <v>45738</v>
      </c>
      <c r="G71" s="100">
        <v>45736</v>
      </c>
      <c r="H71" s="82" t="s">
        <v>16</v>
      </c>
      <c r="I71" s="72" t="s">
        <v>229</v>
      </c>
      <c r="J71" s="72" t="s">
        <v>230</v>
      </c>
      <c r="K71" s="72" t="s">
        <v>561</v>
      </c>
      <c r="M71" s="70" t="s">
        <v>722</v>
      </c>
    </row>
    <row r="72" spans="1:16" ht="15.75" customHeight="1" x14ac:dyDescent="0.25">
      <c r="A72" s="69" t="s">
        <v>394</v>
      </c>
      <c r="B72" s="69" t="s">
        <v>20</v>
      </c>
      <c r="C72" s="69" t="s">
        <v>261</v>
      </c>
      <c r="D72" s="72" t="s">
        <v>249</v>
      </c>
      <c r="E72" s="87">
        <v>45566</v>
      </c>
      <c r="F72" s="87">
        <v>45570</v>
      </c>
      <c r="G72" s="91">
        <v>45569</v>
      </c>
      <c r="H72" s="82" t="s">
        <v>16</v>
      </c>
      <c r="I72" s="72" t="s">
        <v>561</v>
      </c>
      <c r="J72" s="72" t="s">
        <v>70</v>
      </c>
      <c r="K72" s="72" t="s">
        <v>561</v>
      </c>
      <c r="M72" s="70"/>
    </row>
    <row r="73" spans="1:16" ht="15.75" customHeight="1" x14ac:dyDescent="0.25">
      <c r="A73" s="69" t="s">
        <v>399</v>
      </c>
      <c r="B73" s="69" t="s">
        <v>20</v>
      </c>
      <c r="C73" s="69" t="s">
        <v>211</v>
      </c>
      <c r="D73" s="69" t="s">
        <v>347</v>
      </c>
      <c r="E73" s="88">
        <v>45718</v>
      </c>
      <c r="F73" s="87">
        <v>45724</v>
      </c>
      <c r="G73" s="100">
        <v>45720</v>
      </c>
      <c r="H73" s="82" t="s">
        <v>16</v>
      </c>
      <c r="I73" s="72" t="s">
        <v>213</v>
      </c>
      <c r="J73" s="72" t="s">
        <v>155</v>
      </c>
      <c r="K73" s="72" t="s">
        <v>214</v>
      </c>
      <c r="M73" s="70"/>
    </row>
    <row r="74" spans="1:16" ht="15.75" customHeight="1" x14ac:dyDescent="0.25">
      <c r="A74" s="69" t="s">
        <v>52</v>
      </c>
      <c r="B74" s="69" t="s">
        <v>20</v>
      </c>
      <c r="C74" s="69" t="s">
        <v>821</v>
      </c>
      <c r="D74" s="69" t="s">
        <v>723</v>
      </c>
      <c r="E74" s="79">
        <v>45768</v>
      </c>
      <c r="F74" s="79">
        <v>45773</v>
      </c>
      <c r="G74" s="100">
        <v>45768</v>
      </c>
      <c r="H74" s="82" t="s">
        <v>16</v>
      </c>
      <c r="I74" s="72" t="s">
        <v>272</v>
      </c>
      <c r="J74" s="72" t="s">
        <v>50</v>
      </c>
      <c r="K74" s="72" t="s">
        <v>57</v>
      </c>
      <c r="M74" s="70"/>
    </row>
    <row r="75" spans="1:16" ht="15.75" customHeight="1" x14ac:dyDescent="0.25">
      <c r="A75" s="69" t="s">
        <v>12</v>
      </c>
      <c r="B75" s="69" t="s">
        <v>20</v>
      </c>
      <c r="C75" s="69" t="s">
        <v>822</v>
      </c>
      <c r="D75" s="72" t="s">
        <v>141</v>
      </c>
      <c r="E75" s="83">
        <v>45596</v>
      </c>
      <c r="F75" s="87">
        <v>45605</v>
      </c>
      <c r="G75" s="81">
        <v>45605</v>
      </c>
      <c r="H75" s="82" t="s">
        <v>16</v>
      </c>
      <c r="I75" s="72" t="s">
        <v>83</v>
      </c>
      <c r="J75" s="72" t="s">
        <v>84</v>
      </c>
      <c r="K75" s="92" t="s">
        <v>566</v>
      </c>
      <c r="M75" s="69"/>
    </row>
    <row r="76" spans="1:16" ht="15.75" customHeight="1" x14ac:dyDescent="0.25">
      <c r="A76" s="69" t="s">
        <v>12</v>
      </c>
      <c r="B76" s="69" t="s">
        <v>20</v>
      </c>
      <c r="C76" s="69" t="s">
        <v>822</v>
      </c>
      <c r="D76" s="72" t="s">
        <v>724</v>
      </c>
      <c r="E76" s="88">
        <v>45736</v>
      </c>
      <c r="F76" s="87">
        <v>45745</v>
      </c>
      <c r="G76" s="100" t="s">
        <v>241</v>
      </c>
      <c r="H76" s="100" t="s">
        <v>241</v>
      </c>
      <c r="I76" s="72"/>
      <c r="J76" s="72"/>
      <c r="K76" s="72"/>
      <c r="M76" s="70" t="s">
        <v>725</v>
      </c>
    </row>
    <row r="77" spans="1:16" ht="15.75" customHeight="1" x14ac:dyDescent="0.25">
      <c r="A77" s="30" t="s">
        <v>394</v>
      </c>
      <c r="B77" s="30" t="s">
        <v>13</v>
      </c>
      <c r="C77" s="69" t="s">
        <v>823</v>
      </c>
      <c r="D77" s="72" t="s">
        <v>78</v>
      </c>
      <c r="E77" s="90">
        <v>45596</v>
      </c>
      <c r="F77" s="90">
        <v>45605</v>
      </c>
      <c r="G77" s="81">
        <v>45603</v>
      </c>
      <c r="H77" s="82" t="s">
        <v>16</v>
      </c>
      <c r="I77" s="30" t="s">
        <v>75</v>
      </c>
      <c r="J77" s="30" t="s">
        <v>76</v>
      </c>
      <c r="K77" s="30" t="s">
        <v>75</v>
      </c>
      <c r="M77" s="70"/>
    </row>
    <row r="78" spans="1:16" ht="15.75" customHeight="1" x14ac:dyDescent="0.25">
      <c r="A78" s="69" t="s">
        <v>12</v>
      </c>
      <c r="B78" s="69" t="s">
        <v>13</v>
      </c>
      <c r="C78" s="69" t="s">
        <v>382</v>
      </c>
      <c r="D78" s="69" t="s">
        <v>286</v>
      </c>
      <c r="E78" s="87">
        <v>45546</v>
      </c>
      <c r="F78" s="87">
        <v>45549</v>
      </c>
      <c r="G78" s="80">
        <v>45549</v>
      </c>
      <c r="H78" s="82" t="s">
        <v>16</v>
      </c>
      <c r="I78" s="72" t="s">
        <v>655</v>
      </c>
      <c r="J78" s="69" t="s">
        <v>726</v>
      </c>
      <c r="K78" s="72" t="s">
        <v>574</v>
      </c>
      <c r="M78" s="70"/>
    </row>
    <row r="79" spans="1:16" ht="15.75" customHeight="1" x14ac:dyDescent="0.25">
      <c r="A79" s="69" t="s">
        <v>12</v>
      </c>
      <c r="B79" s="69" t="s">
        <v>13</v>
      </c>
      <c r="C79" s="69" t="s">
        <v>382</v>
      </c>
      <c r="D79" s="69" t="s">
        <v>249</v>
      </c>
      <c r="E79" s="79">
        <v>45762</v>
      </c>
      <c r="F79" s="79">
        <v>45766</v>
      </c>
      <c r="G79" s="100">
        <v>45763</v>
      </c>
      <c r="H79" s="82" t="s">
        <v>16</v>
      </c>
      <c r="I79" s="72" t="s">
        <v>655</v>
      </c>
      <c r="J79" s="72" t="s">
        <v>65</v>
      </c>
      <c r="K79" s="30" t="s">
        <v>574</v>
      </c>
      <c r="M79" s="70"/>
      <c r="P79" t="s">
        <v>727</v>
      </c>
    </row>
    <row r="80" spans="1:16" ht="15.75" customHeight="1" x14ac:dyDescent="0.25">
      <c r="A80" s="69" t="s">
        <v>399</v>
      </c>
      <c r="B80" s="69" t="s">
        <v>20</v>
      </c>
      <c r="C80" s="69" t="s">
        <v>34</v>
      </c>
      <c r="D80" s="69" t="s">
        <v>136</v>
      </c>
      <c r="E80" s="87">
        <v>45539</v>
      </c>
      <c r="F80" s="87">
        <v>45542</v>
      </c>
      <c r="G80" s="80">
        <v>45541</v>
      </c>
      <c r="H80" s="82" t="s">
        <v>16</v>
      </c>
      <c r="I80" s="72" t="s">
        <v>504</v>
      </c>
      <c r="J80" s="72" t="s">
        <v>37</v>
      </c>
      <c r="K80" s="72" t="s">
        <v>522</v>
      </c>
      <c r="M80" s="70"/>
    </row>
    <row r="81" spans="1:33" ht="15.75" customHeight="1" x14ac:dyDescent="0.25">
      <c r="A81" s="69" t="s">
        <v>399</v>
      </c>
      <c r="B81" s="69" t="s">
        <v>20</v>
      </c>
      <c r="C81" s="69" t="s">
        <v>127</v>
      </c>
      <c r="D81" s="69" t="s">
        <v>325</v>
      </c>
      <c r="E81" s="79">
        <v>45620</v>
      </c>
      <c r="F81" s="87">
        <v>45624</v>
      </c>
      <c r="G81" s="81">
        <v>45623</v>
      </c>
      <c r="H81" s="82" t="s">
        <v>16</v>
      </c>
      <c r="I81" s="72" t="s">
        <v>728</v>
      </c>
      <c r="J81" s="72" t="s">
        <v>129</v>
      </c>
      <c r="K81" s="72" t="s">
        <v>128</v>
      </c>
      <c r="M81" s="70" t="s">
        <v>503</v>
      </c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</row>
    <row r="82" spans="1:33" ht="15.75" customHeight="1" x14ac:dyDescent="0.25">
      <c r="A82" s="69" t="s">
        <v>25</v>
      </c>
      <c r="B82" s="69" t="s">
        <v>13</v>
      </c>
      <c r="C82" s="69" t="s">
        <v>826</v>
      </c>
      <c r="D82" s="69" t="s">
        <v>169</v>
      </c>
      <c r="E82" s="79">
        <v>45771</v>
      </c>
      <c r="F82" s="87">
        <v>45773</v>
      </c>
      <c r="G82" s="100">
        <v>45772</v>
      </c>
      <c r="H82" s="82" t="s">
        <v>16</v>
      </c>
      <c r="I82" s="72" t="s">
        <v>113</v>
      </c>
      <c r="J82" s="72" t="s">
        <v>288</v>
      </c>
      <c r="K82" s="72" t="s">
        <v>289</v>
      </c>
      <c r="M82" s="70" t="s">
        <v>729</v>
      </c>
    </row>
    <row r="83" spans="1:33" ht="15.75" customHeight="1" x14ac:dyDescent="0.25">
      <c r="A83" s="69" t="s">
        <v>52</v>
      </c>
      <c r="B83" s="69" t="s">
        <v>20</v>
      </c>
      <c r="C83" s="69" t="s">
        <v>828</v>
      </c>
      <c r="D83" s="69" t="s">
        <v>141</v>
      </c>
      <c r="E83" s="78">
        <v>45612</v>
      </c>
      <c r="F83" s="87">
        <v>45619</v>
      </c>
      <c r="G83" s="81">
        <v>45614</v>
      </c>
      <c r="H83" s="82" t="s">
        <v>16</v>
      </c>
      <c r="I83" s="72" t="s">
        <v>272</v>
      </c>
      <c r="J83" s="72" t="s">
        <v>562</v>
      </c>
      <c r="K83" s="72" t="s">
        <v>561</v>
      </c>
      <c r="M83" s="70" t="s">
        <v>730</v>
      </c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</row>
    <row r="84" spans="1:33" ht="15.75" customHeight="1" x14ac:dyDescent="0.25">
      <c r="A84" s="69" t="s">
        <v>399</v>
      </c>
      <c r="B84" s="69" t="s">
        <v>20</v>
      </c>
      <c r="C84" s="69" t="s">
        <v>829</v>
      </c>
      <c r="D84" s="72" t="s">
        <v>731</v>
      </c>
      <c r="E84" s="79">
        <v>45763</v>
      </c>
      <c r="F84" s="79">
        <v>45767</v>
      </c>
      <c r="G84" s="100">
        <v>45766</v>
      </c>
      <c r="H84" s="85" t="s">
        <v>16</v>
      </c>
      <c r="I84" s="72" t="s">
        <v>170</v>
      </c>
      <c r="J84" s="72" t="s">
        <v>155</v>
      </c>
      <c r="K84" s="72" t="s">
        <v>466</v>
      </c>
      <c r="M84" s="70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</row>
    <row r="85" spans="1:33" x14ac:dyDescent="0.25">
      <c r="A85" s="71" t="s">
        <v>12</v>
      </c>
      <c r="B85" s="69" t="s">
        <v>13</v>
      </c>
      <c r="C85" s="69" t="s">
        <v>276</v>
      </c>
      <c r="D85" s="72" t="s">
        <v>345</v>
      </c>
      <c r="E85" s="79">
        <v>45715</v>
      </c>
      <c r="F85" s="87">
        <v>45717</v>
      </c>
      <c r="G85" s="100">
        <v>45717</v>
      </c>
      <c r="H85" s="82" t="s">
        <v>16</v>
      </c>
      <c r="I85" s="72" t="s">
        <v>581</v>
      </c>
      <c r="J85" s="72" t="s">
        <v>732</v>
      </c>
      <c r="K85" s="72" t="s">
        <v>733</v>
      </c>
      <c r="M85" s="45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</row>
    <row r="86" spans="1:33" x14ac:dyDescent="0.25">
      <c r="A86" s="69" t="s">
        <v>43</v>
      </c>
      <c r="B86" s="69" t="s">
        <v>13</v>
      </c>
      <c r="C86" s="69" t="s">
        <v>830</v>
      </c>
      <c r="D86" s="69" t="s">
        <v>141</v>
      </c>
      <c r="E86" s="78">
        <v>45601</v>
      </c>
      <c r="F86" s="87">
        <v>45605</v>
      </c>
      <c r="G86" s="100" t="s">
        <v>241</v>
      </c>
      <c r="H86" s="100" t="s">
        <v>241</v>
      </c>
      <c r="I86" s="72"/>
      <c r="J86" s="72"/>
      <c r="K86" s="72"/>
      <c r="M86" s="70" t="s">
        <v>734</v>
      </c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</row>
    <row r="87" spans="1:33" x14ac:dyDescent="0.25">
      <c r="A87" s="69" t="s">
        <v>394</v>
      </c>
      <c r="B87" s="69" t="s">
        <v>13</v>
      </c>
      <c r="C87" s="69" t="s">
        <v>322</v>
      </c>
      <c r="D87" s="72" t="s">
        <v>542</v>
      </c>
      <c r="E87" s="87">
        <v>45782</v>
      </c>
      <c r="F87" s="87">
        <v>45787</v>
      </c>
      <c r="G87" s="100">
        <v>45783</v>
      </c>
      <c r="H87" s="82" t="s">
        <v>16</v>
      </c>
      <c r="I87" s="72" t="s">
        <v>424</v>
      </c>
      <c r="J87" s="72" t="s">
        <v>562</v>
      </c>
      <c r="K87" s="72" t="s">
        <v>561</v>
      </c>
      <c r="M87" s="70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</row>
    <row r="88" spans="1:33" ht="15.75" customHeight="1" x14ac:dyDescent="0.25">
      <c r="A88" s="69" t="s">
        <v>43</v>
      </c>
      <c r="B88" s="69" t="s">
        <v>20</v>
      </c>
      <c r="C88" s="69" t="s">
        <v>220</v>
      </c>
      <c r="D88" s="72" t="s">
        <v>262</v>
      </c>
      <c r="E88" s="79">
        <v>45736</v>
      </c>
      <c r="F88" s="87">
        <v>45745</v>
      </c>
      <c r="G88" s="100">
        <v>45737</v>
      </c>
      <c r="H88" s="82" t="s">
        <v>16</v>
      </c>
      <c r="I88" s="73" t="s">
        <v>222</v>
      </c>
      <c r="J88" s="69" t="s">
        <v>223</v>
      </c>
      <c r="K88" s="69" t="s">
        <v>355</v>
      </c>
      <c r="M88" s="70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</row>
    <row r="89" spans="1:33" ht="15.75" customHeight="1" x14ac:dyDescent="0.25">
      <c r="A89" s="69" t="s">
        <v>43</v>
      </c>
      <c r="B89" s="69" t="s">
        <v>20</v>
      </c>
      <c r="C89" s="69" t="s">
        <v>258</v>
      </c>
      <c r="D89" s="72" t="s">
        <v>589</v>
      </c>
      <c r="E89" s="78">
        <v>45569</v>
      </c>
      <c r="F89" s="78">
        <v>45571</v>
      </c>
      <c r="G89" s="100" t="s">
        <v>241</v>
      </c>
      <c r="H89" s="100" t="s">
        <v>241</v>
      </c>
      <c r="I89" s="72"/>
      <c r="J89" s="72"/>
      <c r="K89" s="72"/>
      <c r="M89" s="70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</row>
    <row r="90" spans="1:33" ht="15.75" customHeight="1" x14ac:dyDescent="0.25">
      <c r="A90" s="69" t="s">
        <v>394</v>
      </c>
      <c r="B90" s="69" t="s">
        <v>20</v>
      </c>
      <c r="C90" s="69" t="s">
        <v>831</v>
      </c>
      <c r="D90" s="72" t="s">
        <v>650</v>
      </c>
      <c r="E90" s="88">
        <v>45704</v>
      </c>
      <c r="F90" s="87">
        <v>45710</v>
      </c>
      <c r="G90" s="100">
        <v>45708</v>
      </c>
      <c r="H90" s="82" t="s">
        <v>16</v>
      </c>
      <c r="I90" s="72" t="s">
        <v>40</v>
      </c>
      <c r="J90" s="72" t="s">
        <v>158</v>
      </c>
      <c r="K90" s="72" t="s">
        <v>159</v>
      </c>
      <c r="M90" s="70" t="s">
        <v>706</v>
      </c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</row>
    <row r="91" spans="1:33" ht="15.75" customHeight="1" x14ac:dyDescent="0.25">
      <c r="A91" s="69" t="s">
        <v>25</v>
      </c>
      <c r="B91" s="69" t="s">
        <v>13</v>
      </c>
      <c r="C91" s="69" t="s">
        <v>383</v>
      </c>
      <c r="D91" s="72" t="s">
        <v>735</v>
      </c>
      <c r="E91" s="79">
        <v>45601</v>
      </c>
      <c r="F91" s="87">
        <v>45605</v>
      </c>
      <c r="G91" s="100" t="s">
        <v>241</v>
      </c>
      <c r="H91" s="100" t="s">
        <v>241</v>
      </c>
      <c r="I91" s="72"/>
      <c r="J91" s="72"/>
      <c r="K91" s="72"/>
      <c r="M91" s="70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</row>
    <row r="92" spans="1:33" ht="15.75" customHeight="1" x14ac:dyDescent="0.25">
      <c r="A92" s="69" t="s">
        <v>25</v>
      </c>
      <c r="B92" s="69" t="s">
        <v>13</v>
      </c>
      <c r="C92" s="69" t="s">
        <v>326</v>
      </c>
      <c r="D92" s="69" t="s">
        <v>653</v>
      </c>
      <c r="E92" s="79">
        <v>45706</v>
      </c>
      <c r="F92" s="87">
        <v>45710</v>
      </c>
      <c r="G92" s="100" t="s">
        <v>241</v>
      </c>
      <c r="H92" s="100" t="s">
        <v>241</v>
      </c>
      <c r="I92" s="72"/>
      <c r="J92" s="72"/>
      <c r="K92" s="72"/>
      <c r="M92" s="70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</row>
    <row r="93" spans="1:33" ht="15.75" customHeight="1" x14ac:dyDescent="0.25">
      <c r="A93" s="69" t="s">
        <v>399</v>
      </c>
      <c r="B93" s="69" t="s">
        <v>13</v>
      </c>
      <c r="C93" s="69" t="s">
        <v>94</v>
      </c>
      <c r="D93" s="69" t="s">
        <v>166</v>
      </c>
      <c r="E93" s="88">
        <v>45616</v>
      </c>
      <c r="F93" s="87">
        <v>45619</v>
      </c>
      <c r="G93" s="81">
        <v>45619</v>
      </c>
      <c r="H93" s="82" t="s">
        <v>16</v>
      </c>
      <c r="I93" s="72" t="s">
        <v>96</v>
      </c>
      <c r="J93" s="72" t="s">
        <v>97</v>
      </c>
      <c r="K93" s="72" t="s">
        <v>98</v>
      </c>
      <c r="M93" s="70" t="s">
        <v>736</v>
      </c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</row>
    <row r="94" spans="1:33" ht="15.75" customHeight="1" x14ac:dyDescent="0.25">
      <c r="A94" s="69" t="s">
        <v>12</v>
      </c>
      <c r="B94" s="69" t="s">
        <v>20</v>
      </c>
      <c r="C94" s="69" t="s">
        <v>30</v>
      </c>
      <c r="D94" s="69" t="s">
        <v>336</v>
      </c>
      <c r="E94" s="79">
        <v>45608</v>
      </c>
      <c r="F94" s="87">
        <v>45612</v>
      </c>
      <c r="G94" s="81">
        <v>45612</v>
      </c>
      <c r="H94" s="82" t="s">
        <v>16</v>
      </c>
      <c r="I94" s="72" t="s">
        <v>83</v>
      </c>
      <c r="J94" s="72" t="s">
        <v>32</v>
      </c>
      <c r="K94" s="72" t="s">
        <v>737</v>
      </c>
      <c r="M94" s="70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</row>
    <row r="95" spans="1:33" ht="15.75" customHeight="1" x14ac:dyDescent="0.25">
      <c r="A95" s="69" t="s">
        <v>25</v>
      </c>
      <c r="B95" s="69" t="s">
        <v>13</v>
      </c>
      <c r="C95" s="69" t="s">
        <v>832</v>
      </c>
      <c r="D95" s="72" t="s">
        <v>259</v>
      </c>
      <c r="E95" s="79">
        <v>45637</v>
      </c>
      <c r="F95" s="87">
        <v>45640</v>
      </c>
      <c r="G95" s="81">
        <v>45638</v>
      </c>
      <c r="H95" s="82" t="s">
        <v>16</v>
      </c>
      <c r="I95" s="72" t="s">
        <v>250</v>
      </c>
      <c r="J95" s="72" t="s">
        <v>29</v>
      </c>
      <c r="K95" s="72" t="s">
        <v>250</v>
      </c>
      <c r="M95" s="70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</row>
    <row r="96" spans="1:33" ht="15.75" customHeight="1" x14ac:dyDescent="0.25">
      <c r="A96" s="69" t="s">
        <v>394</v>
      </c>
      <c r="B96" s="69" t="s">
        <v>20</v>
      </c>
      <c r="C96" s="69" t="s">
        <v>833</v>
      </c>
      <c r="D96" s="72" t="s">
        <v>347</v>
      </c>
      <c r="E96" s="88">
        <v>45760</v>
      </c>
      <c r="F96" s="87">
        <v>45767</v>
      </c>
      <c r="G96" s="100">
        <v>45766</v>
      </c>
      <c r="H96" s="82" t="s">
        <v>16</v>
      </c>
      <c r="I96" s="72" t="s">
        <v>118</v>
      </c>
      <c r="J96" s="72" t="s">
        <v>184</v>
      </c>
      <c r="K96" s="72" t="s">
        <v>445</v>
      </c>
      <c r="M96" s="70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</row>
    <row r="97" spans="1:33" ht="15.75" customHeight="1" x14ac:dyDescent="0.25">
      <c r="A97" s="69" t="s">
        <v>43</v>
      </c>
      <c r="B97" s="69" t="s">
        <v>20</v>
      </c>
      <c r="C97" s="69" t="s">
        <v>834</v>
      </c>
      <c r="D97" s="72" t="s">
        <v>228</v>
      </c>
      <c r="E97" s="79">
        <v>45755</v>
      </c>
      <c r="F97" s="87">
        <v>45760</v>
      </c>
      <c r="G97" s="100">
        <v>45759</v>
      </c>
      <c r="H97" s="85" t="s">
        <v>16</v>
      </c>
      <c r="I97" s="74" t="s">
        <v>59</v>
      </c>
      <c r="J97" s="74" t="s">
        <v>738</v>
      </c>
      <c r="K97" s="92" t="s">
        <v>175</v>
      </c>
      <c r="M97" s="70" t="s">
        <v>739</v>
      </c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</row>
    <row r="98" spans="1:33" x14ac:dyDescent="0.25">
      <c r="A98" s="69" t="s">
        <v>52</v>
      </c>
      <c r="B98" s="69" t="s">
        <v>20</v>
      </c>
      <c r="C98" s="69" t="s">
        <v>835</v>
      </c>
      <c r="D98" s="72" t="s">
        <v>212</v>
      </c>
      <c r="E98" s="79">
        <v>45768</v>
      </c>
      <c r="F98" s="79">
        <v>45773</v>
      </c>
      <c r="G98" s="100">
        <v>45773</v>
      </c>
      <c r="H98" s="82" t="s">
        <v>16</v>
      </c>
      <c r="I98" s="72" t="s">
        <v>740</v>
      </c>
      <c r="J98" s="72" t="s">
        <v>741</v>
      </c>
      <c r="K98" s="72" t="s">
        <v>742</v>
      </c>
      <c r="M98" s="70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</row>
    <row r="99" spans="1:33" ht="15.75" customHeight="1" x14ac:dyDescent="0.25">
      <c r="A99" s="69" t="s">
        <v>12</v>
      </c>
      <c r="B99" s="69" t="s">
        <v>20</v>
      </c>
      <c r="C99" s="69" t="s">
        <v>836</v>
      </c>
      <c r="D99" s="72" t="s">
        <v>252</v>
      </c>
      <c r="E99" s="88">
        <v>45741</v>
      </c>
      <c r="F99" s="87">
        <v>45745</v>
      </c>
      <c r="G99" s="100">
        <v>45744</v>
      </c>
      <c r="H99" s="82" t="s">
        <v>16</v>
      </c>
      <c r="I99" s="72" t="s">
        <v>92</v>
      </c>
      <c r="J99" s="72" t="s">
        <v>41</v>
      </c>
      <c r="K99" s="72" t="s">
        <v>743</v>
      </c>
      <c r="M99" s="70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</row>
    <row r="100" spans="1:33" ht="15.75" customHeight="1" x14ac:dyDescent="0.25">
      <c r="A100" s="69" t="s">
        <v>12</v>
      </c>
      <c r="B100" s="69" t="s">
        <v>20</v>
      </c>
      <c r="C100" s="69" t="s">
        <v>836</v>
      </c>
      <c r="D100" s="72" t="s">
        <v>626</v>
      </c>
      <c r="E100" s="87">
        <v>45609</v>
      </c>
      <c r="F100" s="87">
        <v>45612</v>
      </c>
      <c r="G100" s="100" t="s">
        <v>241</v>
      </c>
      <c r="H100" s="100" t="s">
        <v>241</v>
      </c>
      <c r="I100" s="72"/>
      <c r="J100" s="72"/>
      <c r="K100" s="72"/>
      <c r="M100" s="70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</row>
    <row r="101" spans="1:33" ht="15.75" customHeight="1" x14ac:dyDescent="0.25">
      <c r="A101" s="69" t="s">
        <v>43</v>
      </c>
      <c r="B101" s="69" t="s">
        <v>20</v>
      </c>
      <c r="C101" s="69" t="s">
        <v>839</v>
      </c>
      <c r="D101" s="72" t="s">
        <v>54</v>
      </c>
      <c r="E101" s="79">
        <v>45748</v>
      </c>
      <c r="F101" s="87">
        <v>45752</v>
      </c>
      <c r="G101" s="100">
        <v>45748</v>
      </c>
      <c r="H101" s="82" t="s">
        <v>16</v>
      </c>
      <c r="I101" s="72" t="s">
        <v>87</v>
      </c>
      <c r="J101" s="72" t="s">
        <v>29</v>
      </c>
      <c r="K101" s="72" t="s">
        <v>453</v>
      </c>
      <c r="M101" s="70"/>
    </row>
    <row r="102" spans="1:33" ht="15.75" customHeight="1" x14ac:dyDescent="0.25">
      <c r="A102" s="69" t="s">
        <v>52</v>
      </c>
      <c r="B102" s="69" t="s">
        <v>13</v>
      </c>
      <c r="C102" s="69" t="s">
        <v>53</v>
      </c>
      <c r="D102" s="72" t="s">
        <v>744</v>
      </c>
      <c r="E102" s="87">
        <v>45624</v>
      </c>
      <c r="F102" s="87">
        <v>45626</v>
      </c>
      <c r="G102" s="81">
        <v>45625</v>
      </c>
      <c r="H102" s="82" t="s">
        <v>16</v>
      </c>
      <c r="I102" s="72" t="s">
        <v>745</v>
      </c>
      <c r="J102" s="72" t="s">
        <v>56</v>
      </c>
      <c r="K102" s="72" t="s">
        <v>745</v>
      </c>
      <c r="M102" s="70" t="s">
        <v>676</v>
      </c>
    </row>
    <row r="103" spans="1:33" ht="15.75" customHeight="1" x14ac:dyDescent="0.25">
      <c r="A103" s="69" t="s">
        <v>394</v>
      </c>
      <c r="B103" s="69" t="s">
        <v>20</v>
      </c>
      <c r="C103" s="69" t="s">
        <v>232</v>
      </c>
      <c r="D103" s="72" t="s">
        <v>746</v>
      </c>
      <c r="E103" s="88">
        <v>45741</v>
      </c>
      <c r="F103" s="87">
        <v>45745</v>
      </c>
      <c r="G103" s="100">
        <v>45744</v>
      </c>
      <c r="H103" s="82" t="s">
        <v>16</v>
      </c>
      <c r="I103" s="72" t="s">
        <v>154</v>
      </c>
      <c r="J103" s="72" t="s">
        <v>562</v>
      </c>
      <c r="K103" s="72" t="s">
        <v>154</v>
      </c>
      <c r="M103" s="70"/>
    </row>
    <row r="104" spans="1:33" ht="15.75" customHeight="1" x14ac:dyDescent="0.25">
      <c r="A104" s="69" t="s">
        <v>394</v>
      </c>
      <c r="B104" s="69" t="s">
        <v>20</v>
      </c>
      <c r="C104" s="69" t="s">
        <v>168</v>
      </c>
      <c r="D104" s="72" t="s">
        <v>286</v>
      </c>
      <c r="E104" s="88">
        <v>45705</v>
      </c>
      <c r="F104" s="87">
        <v>45710</v>
      </c>
      <c r="G104" s="100">
        <v>45705</v>
      </c>
      <c r="H104" s="82" t="s">
        <v>16</v>
      </c>
      <c r="I104" s="72" t="s">
        <v>424</v>
      </c>
      <c r="J104" s="72" t="s">
        <v>562</v>
      </c>
      <c r="K104" s="72" t="s">
        <v>561</v>
      </c>
      <c r="M104" s="70"/>
    </row>
    <row r="105" spans="1:33" ht="15.75" customHeight="1" x14ac:dyDescent="0.25">
      <c r="A105" s="69" t="s">
        <v>394</v>
      </c>
      <c r="B105" s="69" t="s">
        <v>20</v>
      </c>
      <c r="C105" s="69" t="s">
        <v>269</v>
      </c>
      <c r="D105" s="72" t="s">
        <v>263</v>
      </c>
      <c r="E105" s="79">
        <v>45762</v>
      </c>
      <c r="F105" s="79">
        <v>45766</v>
      </c>
      <c r="G105" s="100">
        <v>45765</v>
      </c>
      <c r="H105" s="85" t="s">
        <v>16</v>
      </c>
      <c r="I105" s="72" t="s">
        <v>154</v>
      </c>
      <c r="J105" s="72" t="s">
        <v>209</v>
      </c>
      <c r="K105" s="72" t="s">
        <v>612</v>
      </c>
      <c r="M105" s="70"/>
    </row>
    <row r="106" spans="1:33" ht="15.75" customHeight="1" x14ac:dyDescent="0.25">
      <c r="A106" s="69" t="s">
        <v>43</v>
      </c>
      <c r="B106" s="69" t="s">
        <v>20</v>
      </c>
      <c r="C106" s="69" t="s">
        <v>186</v>
      </c>
      <c r="D106" s="72" t="s">
        <v>286</v>
      </c>
      <c r="E106" s="87">
        <v>45705</v>
      </c>
      <c r="F106" s="87">
        <v>45710</v>
      </c>
      <c r="G106" s="100">
        <v>45710</v>
      </c>
      <c r="H106" s="82" t="s">
        <v>16</v>
      </c>
      <c r="I106" s="72" t="s">
        <v>187</v>
      </c>
      <c r="J106" s="72" t="s">
        <v>188</v>
      </c>
      <c r="K106" s="72" t="s">
        <v>175</v>
      </c>
      <c r="M106" s="70" t="s">
        <v>747</v>
      </c>
    </row>
    <row r="107" spans="1:33" ht="15.75" customHeight="1" x14ac:dyDescent="0.25">
      <c r="A107" s="45" t="s">
        <v>43</v>
      </c>
      <c r="B107" s="45" t="s">
        <v>20</v>
      </c>
      <c r="C107" s="45" t="s">
        <v>840</v>
      </c>
      <c r="D107" s="45" t="s">
        <v>626</v>
      </c>
      <c r="E107" s="79">
        <v>45624</v>
      </c>
      <c r="F107" s="87">
        <v>45626</v>
      </c>
      <c r="G107" s="81">
        <v>45624</v>
      </c>
      <c r="H107" s="82" t="s">
        <v>16</v>
      </c>
      <c r="I107" s="74" t="s">
        <v>748</v>
      </c>
      <c r="J107" s="74" t="s">
        <v>749</v>
      </c>
      <c r="K107" s="74" t="s">
        <v>750</v>
      </c>
      <c r="M107" s="70"/>
    </row>
    <row r="108" spans="1:33" ht="15.75" customHeight="1" x14ac:dyDescent="0.25">
      <c r="A108" s="45" t="s">
        <v>43</v>
      </c>
      <c r="B108" s="45" t="s">
        <v>20</v>
      </c>
      <c r="C108" s="45" t="s">
        <v>840</v>
      </c>
      <c r="D108" s="45" t="s">
        <v>546</v>
      </c>
      <c r="E108" s="79">
        <v>45735</v>
      </c>
      <c r="F108" s="87">
        <v>45738</v>
      </c>
      <c r="G108" s="100">
        <v>45737</v>
      </c>
      <c r="H108" s="82" t="s">
        <v>16</v>
      </c>
      <c r="I108" s="72" t="s">
        <v>751</v>
      </c>
      <c r="J108" s="72" t="s">
        <v>752</v>
      </c>
      <c r="K108" s="33" t="s">
        <v>753</v>
      </c>
      <c r="M108" s="70"/>
    </row>
    <row r="109" spans="1:33" ht="15.75" customHeight="1" x14ac:dyDescent="0.25">
      <c r="A109" s="69" t="s">
        <v>52</v>
      </c>
      <c r="B109" s="69" t="s">
        <v>20</v>
      </c>
      <c r="C109" s="69" t="s">
        <v>172</v>
      </c>
      <c r="D109" s="72" t="s">
        <v>54</v>
      </c>
      <c r="E109" s="88">
        <v>45704</v>
      </c>
      <c r="F109" s="87">
        <v>45709</v>
      </c>
      <c r="G109" s="100">
        <v>45709</v>
      </c>
      <c r="H109" s="82" t="s">
        <v>16</v>
      </c>
      <c r="I109" s="72" t="s">
        <v>272</v>
      </c>
      <c r="J109" s="72" t="s">
        <v>174</v>
      </c>
      <c r="K109" s="72" t="s">
        <v>134</v>
      </c>
      <c r="M109" s="69"/>
    </row>
    <row r="110" spans="1:33" x14ac:dyDescent="0.25">
      <c r="A110" s="69" t="s">
        <v>12</v>
      </c>
      <c r="B110" s="69" t="s">
        <v>13</v>
      </c>
      <c r="C110" s="69" t="s">
        <v>841</v>
      </c>
      <c r="D110" s="69" t="s">
        <v>414</v>
      </c>
      <c r="E110" s="87">
        <v>45580</v>
      </c>
      <c r="F110" s="87">
        <v>45584</v>
      </c>
      <c r="G110" s="81">
        <v>45584</v>
      </c>
      <c r="H110" s="82" t="s">
        <v>16</v>
      </c>
      <c r="I110" s="72" t="s">
        <v>754</v>
      </c>
      <c r="J110" s="72" t="s">
        <v>50</v>
      </c>
      <c r="K110" s="72" t="s">
        <v>708</v>
      </c>
      <c r="M110" s="70" t="s">
        <v>739</v>
      </c>
    </row>
    <row r="111" spans="1:33" ht="15.75" customHeight="1" x14ac:dyDescent="0.25">
      <c r="A111" s="69" t="s">
        <v>394</v>
      </c>
      <c r="B111" s="69" t="s">
        <v>13</v>
      </c>
      <c r="C111" s="69" t="s">
        <v>279</v>
      </c>
      <c r="D111" s="72" t="s">
        <v>99</v>
      </c>
      <c r="E111" s="88">
        <v>45743</v>
      </c>
      <c r="F111" s="87">
        <v>45745</v>
      </c>
      <c r="G111" s="100">
        <v>45743</v>
      </c>
      <c r="H111" s="82" t="s">
        <v>16</v>
      </c>
      <c r="I111" s="72" t="s">
        <v>755</v>
      </c>
      <c r="J111" s="72" t="s">
        <v>620</v>
      </c>
      <c r="K111" s="33" t="s">
        <v>756</v>
      </c>
      <c r="M111" s="70" t="s">
        <v>649</v>
      </c>
    </row>
    <row r="112" spans="1:33" ht="15" customHeight="1" x14ac:dyDescent="0.25">
      <c r="A112" s="69" t="s">
        <v>43</v>
      </c>
      <c r="B112" s="69" t="s">
        <v>20</v>
      </c>
      <c r="C112" s="69" t="s">
        <v>842</v>
      </c>
      <c r="D112" s="72" t="s">
        <v>350</v>
      </c>
      <c r="E112" s="79">
        <v>45716</v>
      </c>
      <c r="F112" s="87">
        <v>45717</v>
      </c>
      <c r="G112" s="100">
        <v>45716</v>
      </c>
      <c r="H112" s="82" t="s">
        <v>16</v>
      </c>
      <c r="I112" s="72" t="s">
        <v>757</v>
      </c>
      <c r="J112" s="72" t="s">
        <v>758</v>
      </c>
      <c r="K112" s="72" t="s">
        <v>759</v>
      </c>
      <c r="M112" s="70"/>
    </row>
    <row r="113" spans="1:13" ht="15.75" customHeight="1" x14ac:dyDescent="0.25">
      <c r="A113" s="69" t="s">
        <v>43</v>
      </c>
      <c r="B113" s="69" t="s">
        <v>20</v>
      </c>
      <c r="C113" s="69" t="s">
        <v>842</v>
      </c>
      <c r="D113" s="72" t="s">
        <v>364</v>
      </c>
      <c r="E113" s="79">
        <v>45561</v>
      </c>
      <c r="F113" s="87">
        <v>45563</v>
      </c>
      <c r="G113" s="80">
        <v>45562</v>
      </c>
      <c r="H113" s="82" t="s">
        <v>16</v>
      </c>
      <c r="I113" s="72" t="s">
        <v>760</v>
      </c>
      <c r="J113" s="72" t="s">
        <v>625</v>
      </c>
      <c r="K113" s="72" t="s">
        <v>761</v>
      </c>
      <c r="M113" s="70"/>
    </row>
    <row r="114" spans="1:13" ht="15.75" customHeight="1" x14ac:dyDescent="0.25">
      <c r="A114" s="69" t="s">
        <v>43</v>
      </c>
      <c r="B114" s="69" t="s">
        <v>20</v>
      </c>
      <c r="C114" s="69" t="s">
        <v>842</v>
      </c>
      <c r="D114" s="72" t="s">
        <v>257</v>
      </c>
      <c r="E114" s="79">
        <v>45616</v>
      </c>
      <c r="F114" s="87">
        <v>45619</v>
      </c>
      <c r="G114" s="81">
        <v>45617</v>
      </c>
      <c r="H114" s="82" t="s">
        <v>16</v>
      </c>
      <c r="I114" s="72" t="s">
        <v>762</v>
      </c>
      <c r="J114" s="72" t="s">
        <v>101</v>
      </c>
      <c r="K114" s="72" t="s">
        <v>763</v>
      </c>
      <c r="M114" s="70"/>
    </row>
    <row r="115" spans="1:13" ht="15.75" customHeight="1" x14ac:dyDescent="0.25">
      <c r="A115" s="69" t="s">
        <v>394</v>
      </c>
      <c r="B115" s="69" t="s">
        <v>13</v>
      </c>
      <c r="C115" s="69" t="s">
        <v>844</v>
      </c>
      <c r="D115" s="72" t="s">
        <v>764</v>
      </c>
      <c r="E115" s="79">
        <v>45743</v>
      </c>
      <c r="F115" s="87">
        <v>45745</v>
      </c>
      <c r="G115" s="100">
        <v>45744</v>
      </c>
      <c r="H115" s="82" t="s">
        <v>16</v>
      </c>
      <c r="I115" s="74" t="s">
        <v>765</v>
      </c>
      <c r="J115" s="74" t="s">
        <v>766</v>
      </c>
      <c r="K115" s="74" t="s">
        <v>159</v>
      </c>
      <c r="M115" s="75"/>
    </row>
    <row r="116" spans="1:13" ht="15.75" customHeight="1" x14ac:dyDescent="0.25">
      <c r="A116" s="69" t="s">
        <v>12</v>
      </c>
      <c r="B116" s="69" t="s">
        <v>13</v>
      </c>
      <c r="C116" s="69" t="s">
        <v>38</v>
      </c>
      <c r="D116" s="72" t="s">
        <v>161</v>
      </c>
      <c r="E116" s="78">
        <v>45573</v>
      </c>
      <c r="F116" s="87">
        <v>45577</v>
      </c>
      <c r="G116" s="81">
        <v>45576</v>
      </c>
      <c r="H116" s="82" t="s">
        <v>16</v>
      </c>
      <c r="I116" s="72" t="s">
        <v>40</v>
      </c>
      <c r="J116" s="72" t="s">
        <v>41</v>
      </c>
      <c r="K116" s="72" t="s">
        <v>42</v>
      </c>
      <c r="M116" s="70"/>
    </row>
    <row r="117" spans="1:13" ht="15.75" customHeight="1" x14ac:dyDescent="0.25">
      <c r="A117" s="69" t="s">
        <v>399</v>
      </c>
      <c r="B117" s="69" t="s">
        <v>20</v>
      </c>
      <c r="C117" s="69" t="s">
        <v>847</v>
      </c>
      <c r="D117" s="69" t="s">
        <v>262</v>
      </c>
      <c r="E117" s="79">
        <v>45775</v>
      </c>
      <c r="F117" s="87">
        <v>45780</v>
      </c>
      <c r="G117" s="100">
        <v>45780</v>
      </c>
      <c r="H117" s="82" t="s">
        <v>16</v>
      </c>
      <c r="I117" s="72" t="s">
        <v>341</v>
      </c>
      <c r="J117" s="72" t="s">
        <v>268</v>
      </c>
      <c r="K117" s="72" t="s">
        <v>342</v>
      </c>
      <c r="M117" s="70"/>
    </row>
    <row r="122" spans="1:13" ht="15.75" customHeight="1" x14ac:dyDescent="0.25">
      <c r="C122" s="69"/>
    </row>
    <row r="123" spans="1:13" ht="15.75" customHeight="1" x14ac:dyDescent="0.25">
      <c r="C123" s="69"/>
    </row>
    <row r="124" spans="1:13" ht="15.75" customHeight="1" x14ac:dyDescent="0.25">
      <c r="C124" s="69"/>
    </row>
    <row r="125" spans="1:13" ht="15.75" customHeight="1" x14ac:dyDescent="0.25">
      <c r="C125" s="69"/>
    </row>
    <row r="126" spans="1:13" ht="15.75" customHeight="1" x14ac:dyDescent="0.25">
      <c r="C126" s="69"/>
    </row>
    <row r="127" spans="1:13" ht="15.75" customHeight="1" x14ac:dyDescent="0.25">
      <c r="C127" s="69"/>
    </row>
    <row r="129" spans="3:3" ht="15.75" customHeight="1" x14ac:dyDescent="0.25">
      <c r="C129" s="69"/>
    </row>
    <row r="130" spans="3:3" ht="15.75" customHeight="1" x14ac:dyDescent="0.25">
      <c r="C130" s="69"/>
    </row>
    <row r="131" spans="3:3" ht="15.75" customHeight="1" x14ac:dyDescent="0.25">
      <c r="C131" s="69"/>
    </row>
    <row r="132" spans="3:3" ht="15.75" customHeight="1" x14ac:dyDescent="0.25">
      <c r="C132" s="69"/>
    </row>
    <row r="133" spans="3:3" ht="15.75" customHeight="1" x14ac:dyDescent="0.25">
      <c r="C133" s="69"/>
    </row>
    <row r="134" spans="3:3" ht="15.75" customHeight="1" x14ac:dyDescent="0.25">
      <c r="C134" s="69"/>
    </row>
    <row r="135" spans="3:3" ht="15.75" customHeight="1" x14ac:dyDescent="0.25">
      <c r="C135" s="69"/>
    </row>
    <row r="136" spans="3:3" ht="15.75" customHeight="1" x14ac:dyDescent="0.25">
      <c r="C136" s="69"/>
    </row>
    <row r="137" spans="3:3" ht="15.75" customHeight="1" x14ac:dyDescent="0.25">
      <c r="C137" s="69"/>
    </row>
    <row r="138" spans="3:3" ht="15.75" customHeight="1" x14ac:dyDescent="0.25">
      <c r="C138" s="69"/>
    </row>
    <row r="139" spans="3:3" ht="15.75" customHeight="1" x14ac:dyDescent="0.25">
      <c r="C139" s="69"/>
    </row>
    <row r="140" spans="3:3" ht="15.75" customHeight="1" x14ac:dyDescent="0.25">
      <c r="C140" s="69"/>
    </row>
    <row r="141" spans="3:3" ht="15.75" customHeight="1" x14ac:dyDescent="0.25">
      <c r="C141" s="69"/>
    </row>
    <row r="142" spans="3:3" ht="15.75" customHeight="1" x14ac:dyDescent="0.25">
      <c r="C142" s="69"/>
    </row>
    <row r="143" spans="3:3" ht="15.75" customHeight="1" x14ac:dyDescent="0.25">
      <c r="C143" s="69"/>
    </row>
    <row r="144" spans="3:3" ht="15.75" customHeight="1" x14ac:dyDescent="0.25">
      <c r="C144" s="69"/>
    </row>
    <row r="145" spans="3:3" ht="15.75" customHeight="1" x14ac:dyDescent="0.25">
      <c r="C145" s="69"/>
    </row>
    <row r="146" spans="3:3" ht="15.75" customHeight="1" x14ac:dyDescent="0.25">
      <c r="C146" s="69"/>
    </row>
    <row r="147" spans="3:3" ht="15.75" customHeight="1" x14ac:dyDescent="0.25">
      <c r="C147" s="69"/>
    </row>
  </sheetData>
  <autoFilter ref="A1:L117" xr:uid="{00000000-0009-0000-0000-000001000000}">
    <filterColumn colId="5">
      <filters blank="1">
        <dateGroupItem year="2025" dateTimeGrouping="year"/>
        <dateGroupItem year="2024" dateTimeGrouping="year"/>
      </filters>
    </filterColumn>
    <filterColumn colId="7">
      <filters>
        <filter val="ready to be published"/>
      </filters>
    </filterColumn>
    <sortState xmlns:xlrd2="http://schemas.microsoft.com/office/spreadsheetml/2017/richdata2" ref="A2:L117">
      <sortCondition ref="C1:C117"/>
    </sortState>
  </autoFilter>
  <conditionalFormatting sqref="B108:B109">
    <cfRule type="containsText" dxfId="35" priority="153" operator="containsText" text="Done">
      <formula>NOT(ISERROR(SEARCH(("Done"),(C108))))</formula>
    </cfRule>
  </conditionalFormatting>
  <conditionalFormatting sqref="C107:C109">
    <cfRule type="containsText" dxfId="34" priority="154" operator="containsText" text="Done">
      <formula>NOT(ISERROR(SEARCH(("Done"),(D107))))</formula>
    </cfRule>
  </conditionalFormatting>
  <conditionalFormatting sqref="C115">
    <cfRule type="containsText" dxfId="33" priority="121" operator="containsText" text="Done">
      <formula>NOT(ISERROR(SEARCH(("Done"),(D115))))</formula>
    </cfRule>
  </conditionalFormatting>
  <conditionalFormatting sqref="C122:C127">
    <cfRule type="containsText" dxfId="32" priority="11" operator="containsText" text="Done">
      <formula>NOT(ISERROR(SEARCH(("Done"),(C122))))</formula>
    </cfRule>
  </conditionalFormatting>
  <conditionalFormatting sqref="C140:C142">
    <cfRule type="containsText" dxfId="31" priority="9" operator="containsText" text="Done">
      <formula>NOT(ISERROR(SEARCH(("Done"),(D140))))</formula>
    </cfRule>
  </conditionalFormatting>
  <conditionalFormatting sqref="C143:C147">
    <cfRule type="containsText" dxfId="30" priority="5" operator="containsText" text="Done">
      <formula>NOT(ISERROR(SEARCH(("Done"),(C143))))</formula>
    </cfRule>
  </conditionalFormatting>
  <conditionalFormatting sqref="C2:D15">
    <cfRule type="containsText" dxfId="29" priority="203" operator="containsText" text="Done">
      <formula>NOT(ISERROR(SEARCH(("Done"),(C2))))</formula>
    </cfRule>
  </conditionalFormatting>
  <conditionalFormatting sqref="D9:D10 I65:J65">
    <cfRule type="containsBlanks" dxfId="28" priority="168">
      <formula>LEN(TRIM(D9))=0</formula>
    </cfRule>
  </conditionalFormatting>
  <conditionalFormatting sqref="D14:D16">
    <cfRule type="containsBlanks" dxfId="27" priority="136">
      <formula>LEN(TRIM(D14))=0</formula>
    </cfRule>
  </conditionalFormatting>
  <conditionalFormatting sqref="D17:D89 M2:M93 I1:K64 D7 I66:K74 I75:J75 I97:J97">
    <cfRule type="containsBlanks" dxfId="26" priority="167">
      <formula>LEN(TRIM(D1))=0</formula>
    </cfRule>
  </conditionalFormatting>
  <conditionalFormatting sqref="D38">
    <cfRule type="containsText" dxfId="25" priority="166" operator="containsText" text="Done">
      <formula>NOT(ISERROR(SEARCH(("Done"),(D38))))</formula>
    </cfRule>
  </conditionalFormatting>
  <conditionalFormatting sqref="D90:D93">
    <cfRule type="containsBlanks" dxfId="24" priority="93">
      <formula>LEN(TRIM(D90))=0</formula>
    </cfRule>
  </conditionalFormatting>
  <conditionalFormatting sqref="D103">
    <cfRule type="containsBlanks" dxfId="23" priority="34">
      <formula>LEN(TRIM(D103))=0</formula>
    </cfRule>
  </conditionalFormatting>
  <conditionalFormatting sqref="D107:D117">
    <cfRule type="containsBlanks" dxfId="22" priority="38">
      <formula>LEN(TRIM(D107))=0</formula>
    </cfRule>
  </conditionalFormatting>
  <conditionalFormatting sqref="E1:F115">
    <cfRule type="cellIs" dxfId="21" priority="140" operator="lessThan">
      <formula>TODAY()</formula>
    </cfRule>
  </conditionalFormatting>
  <conditionalFormatting sqref="E116:F117">
    <cfRule type="cellIs" dxfId="20" priority="2" operator="lessThan">
      <formula>TODAY()</formula>
    </cfRule>
  </conditionalFormatting>
  <conditionalFormatting sqref="F3:F4">
    <cfRule type="cellIs" dxfId="19" priority="141" operator="lessThan">
      <formula>TODAY()</formula>
    </cfRule>
  </conditionalFormatting>
  <conditionalFormatting sqref="F42">
    <cfRule type="containsBlanks" dxfId="18" priority="138">
      <formula>LEN(TRIM(F42))=0</formula>
    </cfRule>
  </conditionalFormatting>
  <conditionalFormatting sqref="G22:H22">
    <cfRule type="containsText" dxfId="17" priority="68" operator="containsText" text="Done">
      <formula>NOT(ISERROR(SEARCH(("Done"),(G22))))</formula>
    </cfRule>
  </conditionalFormatting>
  <conditionalFormatting sqref="H2:H5 H7 C110:C114">
    <cfRule type="containsText" dxfId="16" priority="139" operator="containsText" text="Done">
      <formula>NOT(ISERROR(SEARCH(("Done"),(C2))))</formula>
    </cfRule>
  </conditionalFormatting>
  <conditionalFormatting sqref="H20">
    <cfRule type="containsText" dxfId="15" priority="63" operator="containsText" text="Done">
      <formula>NOT(ISERROR(SEARCH(("Done"),(H20))))</formula>
    </cfRule>
  </conditionalFormatting>
  <conditionalFormatting sqref="H23">
    <cfRule type="containsText" dxfId="14" priority="62" operator="containsText" text="Done">
      <formula>NOT(ISERROR(SEARCH(("Done"),(H23))))</formula>
    </cfRule>
  </conditionalFormatting>
  <conditionalFormatting sqref="I76:K96">
    <cfRule type="containsBlanks" dxfId="13" priority="17">
      <formula>LEN(TRIM(I76))=0</formula>
    </cfRule>
  </conditionalFormatting>
  <conditionalFormatting sqref="I98:K117">
    <cfRule type="containsBlanks" dxfId="12" priority="3">
      <formula>LEN(TRIM(I98))=0</formula>
    </cfRule>
  </conditionalFormatting>
  <conditionalFormatting sqref="M2:M21 C16:C38 D17:D21 C41:C93 C116:C117 C129:C139">
    <cfRule type="containsText" dxfId="11" priority="111" operator="containsText" text="Done">
      <formula>NOT(ISERROR(SEARCH(("Done"),(C2))))</formula>
    </cfRule>
  </conditionalFormatting>
  <conditionalFormatting sqref="M85">
    <cfRule type="containsText" dxfId="10" priority="145" operator="containsText" text="Done">
      <formula>NOT(ISERROR(SEARCH(("Done"),(M85))))</formula>
    </cfRule>
  </conditionalFormatting>
  <conditionalFormatting sqref="M94:M102">
    <cfRule type="containsBlanks" dxfId="9" priority="200">
      <formula>LEN(TRIM(M94))=0</formula>
    </cfRule>
  </conditionalFormatting>
  <conditionalFormatting sqref="M102:M103 G18 C94:D102 C103 C104:D106">
    <cfRule type="containsText" dxfId="8" priority="184" operator="containsText" text="Done">
      <formula>NOT(ISERROR(SEARCH(("Done"),(C18))))</formula>
    </cfRule>
  </conditionalFormatting>
  <conditionalFormatting sqref="M103:M114">
    <cfRule type="containsBlanks" dxfId="7" priority="130">
      <formula>LEN(TRIM(M103))=0</formula>
    </cfRule>
  </conditionalFormatting>
  <conditionalFormatting sqref="M115">
    <cfRule type="containsText" dxfId="6" priority="279" operator="containsText" text="Done">
      <formula>NOT(ISERROR(SEARCH(("Done"),(F115))))</formula>
    </cfRule>
  </conditionalFormatting>
  <conditionalFormatting sqref="M116:M117">
    <cfRule type="containsBlanks" dxfId="5" priority="110">
      <formula>LEN(TRIM(M116))=0</formula>
    </cfRule>
  </conditionalFormatting>
  <hyperlinks>
    <hyperlink ref="H80" r:id="rId1" xr:uid="{FB89D536-2EA0-4016-943F-BB41404C0048}"/>
    <hyperlink ref="H38" r:id="rId2" xr:uid="{B4FE3C3E-C794-45AE-9811-1A283B05AAD9}"/>
    <hyperlink ref="H47" r:id="rId3" xr:uid="{FBC6E167-0DC3-405C-AAAC-D2B00E312691}"/>
    <hyperlink ref="H66" r:id="rId4" xr:uid="{EDC950E4-3449-4480-9140-E1AC8575FC45}"/>
    <hyperlink ref="H113" r:id="rId5" xr:uid="{84EF4265-BE02-4D4A-9409-22FDB2ABCD94}"/>
    <hyperlink ref="H78" r:id="rId6" xr:uid="{721E8F3D-8BED-4AE1-8938-C46809146585}"/>
    <hyperlink ref="H6:H7" r:id="rId7" display="link" xr:uid="{33E08B81-1C0D-4A87-BCA9-561136D1DFCD}"/>
    <hyperlink ref="H72" r:id="rId8" xr:uid="{5046E423-994C-426C-B9B1-F492553068B2}"/>
    <hyperlink ref="H116" r:id="rId9" xr:uid="{621E366D-3A1D-41C6-93FB-8C008EDE91CB}"/>
    <hyperlink ref="H16" r:id="rId10" xr:uid="{8B16E9CC-5EC5-4EC7-ADF4-88057939D5C8}"/>
    <hyperlink ref="H110" r:id="rId11" xr:uid="{4AAC2AA3-26D8-46D0-B4B0-A00D842A8E69}"/>
    <hyperlink ref="H53" r:id="rId12" xr:uid="{34C370EE-12CC-4B17-94B9-01C212DCAC68}"/>
    <hyperlink ref="H62" r:id="rId13" xr:uid="{7DA1E7A1-3AFB-4AA3-94A2-B952415FD2FF}"/>
    <hyperlink ref="H32" r:id="rId14" xr:uid="{CF725E6D-C199-4D5D-B2A8-C54E66BFDA99}"/>
    <hyperlink ref="H75" r:id="rId15" xr:uid="{03F7D06D-ADAE-4AA8-8442-5A2CA15B5032}"/>
    <hyperlink ref="H29" r:id="rId16" xr:uid="{E69A8AA3-6BE6-43E8-A469-017BF507C221}"/>
    <hyperlink ref="H93" r:id="rId17" xr:uid="{B040D84F-221A-4D48-9D4C-697C918C8E7F}"/>
    <hyperlink ref="H83" r:id="rId18" xr:uid="{39FF9367-E5D2-4B52-B0D7-EB6D2D5EA899}"/>
    <hyperlink ref="H94" r:id="rId19" xr:uid="{BEA1E28E-9A69-43A5-BC9B-168A179D930C}"/>
    <hyperlink ref="H17" r:id="rId20" xr:uid="{7BAA0E8C-9A8E-4CBB-91EA-A157278B7E84}"/>
    <hyperlink ref="H2" r:id="rId21" xr:uid="{53A21C55-0038-4393-AB27-F718AC7E0FE8}"/>
    <hyperlink ref="H77" r:id="rId22" xr:uid="{0751AC7C-51B0-433E-973E-268521ACD9AC}"/>
    <hyperlink ref="H70" r:id="rId23" xr:uid="{8FF6E564-2094-4DF2-BB7F-E4A0D3C7366C}"/>
    <hyperlink ref="H46" r:id="rId24" xr:uid="{5104D061-D772-4DFB-87C0-44A02B388B41}"/>
    <hyperlink ref="H81" r:id="rId25" xr:uid="{3FBBBB79-BDC7-46AA-842C-ECAB306FE9E7}"/>
    <hyperlink ref="H114" r:id="rId26" xr:uid="{B2FEB284-A07F-4A08-B09F-DFFC7D77A352}"/>
    <hyperlink ref="H102" r:id="rId27" xr:uid="{69E3C1AA-66F5-4C90-828D-D22FB9C51D3D}"/>
    <hyperlink ref="H25" r:id="rId28" xr:uid="{B4EB0113-4483-43D3-93C8-49EBCD35925B}"/>
    <hyperlink ref="H107" r:id="rId29" xr:uid="{4E877C9A-9B6B-4447-8CB0-7D5B6A6E80C7}"/>
    <hyperlink ref="H39" r:id="rId30" xr:uid="{8E3A63AE-5EF8-4E5F-9C50-A79F0C0CBD12}"/>
    <hyperlink ref="H20" r:id="rId31" xr:uid="{58777156-B4C3-4FD7-8F22-1CDBECC366AA}"/>
    <hyperlink ref="H42" r:id="rId32" xr:uid="{5ED407DE-A92A-4981-A0FE-12C63DE836BF}"/>
    <hyperlink ref="H56" r:id="rId33" xr:uid="{0E8D8197-6C3C-4F8D-AD15-C31385834B6A}"/>
    <hyperlink ref="H95" r:id="rId34" xr:uid="{D47CB752-4114-4D85-91BA-959DDAC3F1A6}"/>
    <hyperlink ref="H11" r:id="rId35" xr:uid="{ABC129D4-5AA9-489D-A9E6-8601471A247E}"/>
    <hyperlink ref="H50" r:id="rId36" xr:uid="{E58ADE5C-4CCE-415D-BE25-B155CD4725F9}"/>
    <hyperlink ref="H45" r:id="rId37" xr:uid="{6924B4E7-40E9-4F8B-AD20-993265335B1B}"/>
    <hyperlink ref="H8" r:id="rId38" xr:uid="{8F03D9DA-D478-4247-B84E-47AC1D565E85}"/>
    <hyperlink ref="H104" r:id="rId39" xr:uid="{29E70356-01FF-4C2E-9C66-FC50419D9444}"/>
    <hyperlink ref="H61" r:id="rId40" xr:uid="{9B473FB7-14F2-4BB0-BFCA-07D2391280DC}"/>
    <hyperlink ref="H90" r:id="rId41" xr:uid="{D9128936-8251-4F1E-A5D6-2B4040339BE6}"/>
    <hyperlink ref="H37" r:id="rId42" xr:uid="{50B040C2-85BF-4147-A74F-1A616D17999A}"/>
    <hyperlink ref="H28" r:id="rId43" xr:uid="{F50E8344-76F7-445B-A1B8-D674BE42EAB1}"/>
    <hyperlink ref="H4" r:id="rId44" xr:uid="{97ADFF6B-3F0D-4603-B200-8EA13A55B85E}"/>
    <hyperlink ref="H109" r:id="rId45" xr:uid="{717A2A82-DA2B-4335-A36D-B61C0522650E}"/>
    <hyperlink ref="H58" r:id="rId46" xr:uid="{D6D4DB70-4DBE-4E76-B272-05D028CFC39E}"/>
    <hyperlink ref="H106" r:id="rId47" xr:uid="{CA6114DC-E281-491A-9345-E5FFE769D180}"/>
    <hyperlink ref="H112" r:id="rId48" xr:uid="{9D8D14E7-8BF3-46EC-9A2C-998AB8E53914}"/>
    <hyperlink ref="H85" r:id="rId49" xr:uid="{DAF39366-C98B-4145-8AAC-DD361CCAFCC8}"/>
    <hyperlink ref="H73" r:id="rId50" xr:uid="{AC22937A-0FA4-455F-8FA0-82204F7D46B1}"/>
    <hyperlink ref="H14" r:id="rId51" xr:uid="{2E120C6C-D369-4118-A2B2-63BF63404327}"/>
    <hyperlink ref="H51" r:id="rId52" xr:uid="{64502371-A14C-4329-92C9-4037AF94E063}"/>
    <hyperlink ref="H108" r:id="rId53" xr:uid="{9393485E-3D41-4AD6-A250-FC639CABC702}"/>
    <hyperlink ref="H5" r:id="rId54" xr:uid="{A2F4E9E1-87A3-4045-B620-CA22125AD7D1}"/>
    <hyperlink ref="H88" r:id="rId55" xr:uid="{B3B32789-D480-44A4-9B50-B4BCAE50B25C}"/>
    <hyperlink ref="H68" r:id="rId56" xr:uid="{BF376C4F-E3EA-4318-9FB4-B4FC6AEAAC21}"/>
    <hyperlink ref="H71" r:id="rId57" xr:uid="{655B712B-AF02-4A91-8F7C-0BFA0C94F925}"/>
    <hyperlink ref="H64" r:id="rId58" xr:uid="{23422E10-4F33-4D29-9131-D5E4ECDC050B}"/>
    <hyperlink ref="H9" r:id="rId59" xr:uid="{4C13AC24-486D-4688-90A5-0965BD0B719F}"/>
    <hyperlink ref="H43" r:id="rId60" xr:uid="{4D5220F6-A418-4ACC-AB94-19787CAFB01C}"/>
    <hyperlink ref="H111" r:id="rId61" xr:uid="{9DAC8B29-EB98-4820-B287-132B01826BB2}"/>
    <hyperlink ref="H99" r:id="rId62" xr:uid="{0DBBC617-E602-445A-8F04-FFC29EF9A672}"/>
    <hyperlink ref="H26" r:id="rId63" xr:uid="{48A5D522-F58C-400E-B4D5-CC59E3970B98}"/>
    <hyperlink ref="H21" r:id="rId64" xr:uid="{A26273B9-8143-4E58-81E3-68296880FC28}"/>
    <hyperlink ref="H27" r:id="rId65" xr:uid="{65F0D3CF-D956-4797-8624-0596901D4195}"/>
    <hyperlink ref="H49" r:id="rId66" xr:uid="{C4DCCBD8-1BA9-438E-B7C5-1AF7FD2DDD44}"/>
    <hyperlink ref="H103" r:id="rId67" xr:uid="{CEA65668-A037-4ED5-8BFE-F93CF1A6889C}"/>
    <hyperlink ref="H115" r:id="rId68" xr:uid="{154FF7D9-527F-4A5E-8FC0-819625D22706}"/>
    <hyperlink ref="H23" r:id="rId69" xr:uid="{8ADAF511-341F-4116-94AB-F881C600DBD4}"/>
    <hyperlink ref="H101" r:id="rId70" xr:uid="{676B06C8-B798-4A75-A63A-5AD5BCC8D27B}"/>
    <hyperlink ref="H69" r:id="rId71" xr:uid="{19FF58E9-B5AE-4613-A970-58B3514739F0}"/>
    <hyperlink ref="H59" r:id="rId72" xr:uid="{7BEEAFA9-6AF9-4FF9-8DEE-90BBED8F4D7F}"/>
    <hyperlink ref="H63" r:id="rId73" xr:uid="{44AE5D5F-C674-42E9-B583-4C11F2763107}"/>
    <hyperlink ref="H34" r:id="rId74" xr:uid="{66DE6F09-5C1D-4DF5-9D3E-653F0723E72B}"/>
    <hyperlink ref="H52" r:id="rId75" xr:uid="{1A18E8B0-5977-4EE4-BC09-3C8AD789AC7A}"/>
    <hyperlink ref="H60" r:id="rId76" xr:uid="{9C61DCC3-0C84-4AA5-BB35-1D8B96AB9A6A}"/>
    <hyperlink ref="H19" r:id="rId77" xr:uid="{E4E2E9F9-98B7-4938-A572-5FCB2192BF64}"/>
    <hyperlink ref="H12" r:id="rId78" xr:uid="{A66EBFC5-F88A-4137-B36B-AD60AC11F6DA}"/>
    <hyperlink ref="H79" r:id="rId79" xr:uid="{A40AAE0F-9454-4BD9-8C50-D6812095A559}"/>
    <hyperlink ref="H96" r:id="rId80" xr:uid="{84365A53-269C-4353-9F34-80B026BA3B28}"/>
    <hyperlink ref="H74" r:id="rId81" xr:uid="{29012AC8-5EF4-4F2E-9BA5-1F869BC62247}"/>
    <hyperlink ref="H98" r:id="rId82" xr:uid="{7DBE3A87-C480-4599-AE9C-3B91843C62C0}"/>
    <hyperlink ref="H31" r:id="rId83" xr:uid="{874AF400-DC9F-4507-AADA-3B3EDF931807}"/>
    <hyperlink ref="H35" r:id="rId84" xr:uid="{4A008E89-BFE6-4542-A7B1-FBCCD5F413FE}"/>
    <hyperlink ref="H33" r:id="rId85" xr:uid="{93E6B85C-19A0-4A2D-A2CE-B0EB9A6773B9}"/>
    <hyperlink ref="H82" r:id="rId86" xr:uid="{8783CD96-B5A4-41DD-9CE4-67A729D437E4}"/>
    <hyperlink ref="H7" r:id="rId87" xr:uid="{136AE428-E73A-4155-9BE8-F8B556B6CE46}"/>
    <hyperlink ref="H87" r:id="rId88" xr:uid="{DD59F744-82E9-427A-9617-7708F0D4A8A2}"/>
    <hyperlink ref="H24" r:id="rId89" xr:uid="{3CD6B58C-319C-49EF-89C7-6C175C3F0B71}"/>
    <hyperlink ref="H55" r:id="rId90" xr:uid="{21CA29C0-5EC3-441B-8ED7-05DAD5299B9A}"/>
    <hyperlink ref="H6" r:id="rId91" xr:uid="{3F86D435-AF7C-4672-92AC-C74293E2BA85}"/>
    <hyperlink ref="H117" r:id="rId92" xr:uid="{8B082DEA-FF0C-41B3-9A09-2EBEE35E13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Societies (Master)</vt:lpstr>
      <vt:lpstr>AIMS Season 2526</vt:lpstr>
      <vt:lpstr>AIMS Season 2627</vt:lpstr>
      <vt:lpstr>Gilbert</vt:lpstr>
      <vt:lpstr>Sullivan</vt:lpstr>
      <vt:lpstr>AIMS Season 2728</vt:lpstr>
      <vt:lpstr>AIMS Calendar 2324</vt:lpstr>
      <vt:lpstr>DC Watchlist 2024</vt:lpstr>
      <vt:lpstr>AIMS Season - 24_25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Darragh Carroll</dc:creator>
  <cp:keywords/>
  <dc:description/>
  <cp:lastModifiedBy>Darragh Carroll</cp:lastModifiedBy>
  <cp:revision/>
  <dcterms:created xsi:type="dcterms:W3CDTF">2024-01-23T01:07:01Z</dcterms:created>
  <dcterms:modified xsi:type="dcterms:W3CDTF">2026-08-01T18:15:24Z</dcterms:modified>
  <cp:category/>
  <cp:contentStatus/>
</cp:coreProperties>
</file>